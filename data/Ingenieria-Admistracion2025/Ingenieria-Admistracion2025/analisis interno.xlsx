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SISTEMAS\incamotors-landing\data\Ingenieria-Admistracion2025\Ingenieria-Admistracion2025\"/>
    </mc:Choice>
  </mc:AlternateContent>
  <xr:revisionPtr revIDLastSave="0" documentId="13_ncr:1_{39C58F1C-1880-4A99-8101-AE9392BBD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orno interno" sheetId="1" r:id="rId1"/>
    <sheet name="Matriz EFI" sheetId="2" r:id="rId2"/>
  </sheets>
  <definedNames>
    <definedName name="_xlnm.Print_Area" localSheetId="0">'Entorno interno'!$A$1:$I$29</definedName>
    <definedName name="_xlnm.Print_Area" localSheetId="1">'Matriz EFI'!$A$1:$F$30</definedName>
  </definedNames>
  <calcPr calcId="191028" iterate="1" iterateCount="50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2" l="1"/>
  <c r="F23" i="2"/>
  <c r="F24" i="2"/>
  <c r="F21" i="2"/>
  <c r="F29" i="2"/>
  <c r="F16" i="2"/>
  <c r="F15" i="2"/>
  <c r="F14" i="2"/>
  <c r="F13" i="2"/>
  <c r="I7" i="1" l="1"/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D30" i="2"/>
  <c r="F28" i="2"/>
  <c r="F27" i="2"/>
  <c r="F25" i="2"/>
  <c r="F22" i="2"/>
  <c r="F20" i="2"/>
  <c r="F19" i="2"/>
  <c r="F12" i="2"/>
  <c r="F11" i="2"/>
  <c r="F10" i="2"/>
  <c r="F9" i="2"/>
  <c r="F8" i="2"/>
  <c r="F7" i="2"/>
  <c r="F6" i="2"/>
  <c r="F5" i="2"/>
  <c r="F3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000-000001000000}">
      <text>
        <r>
          <rPr>
            <sz val="12"/>
            <color rgb="FF000000"/>
            <rFont val="Calibri"/>
            <family val="2"/>
          </rPr>
          <t xml:space="preserve">Fortaleza:
¿En que medida este factor influye favorablemente al logro de la misión visión de la institución?
Debilidad:
¿En que medida este factor afecta el logro de la misión y vision de la institución?
</t>
        </r>
      </text>
    </comment>
    <comment ref="F6" authorId="0" shapeId="0" xr:uid="{00000000-0006-0000-0000-000002000000}">
      <text>
        <r>
          <rPr>
            <sz val="12"/>
            <color rgb="FF000000"/>
            <rFont val="Calibri"/>
            <family val="2"/>
          </rPr>
          <t>Fortaleza:
¿En que medida este factor influye favorablemente a  formacion de los profesionales de la institución?
Debilidad:
¿En que medida este factor afecta a la  formacion profesional que  brinda  nuestra la institución?</t>
        </r>
      </text>
    </comment>
    <comment ref="G6" authorId="0" shapeId="0" xr:uid="{00000000-0006-0000-0000-000003000000}">
      <text>
        <r>
          <rPr>
            <sz val="12"/>
            <color rgb="FF000000"/>
            <rFont val="Calibri"/>
            <family val="2"/>
          </rPr>
          <t xml:space="preserve">Fortaleza:
¿En que medida este factor influye favorablemente a  imagen (posicionamiento) de la institución?
Debilidad:
¿En que medida este factor afecta desfavorablemente a la  imagen  de nuestra la institución?
</t>
        </r>
      </text>
    </comment>
    <comment ref="H6" authorId="0" shapeId="0" xr:uid="{00000000-0006-0000-0000-000004000000}">
      <text>
        <r>
          <rPr>
            <sz val="12"/>
            <color rgb="FF000000"/>
            <rFont val="Calibri"/>
            <family val="2"/>
          </rPr>
          <t xml:space="preserve">Fortaleza:
</t>
        </r>
        <r>
          <rPr>
            <sz val="12"/>
            <color rgb="FF000000"/>
            <rFont val="Calibri"/>
            <family val="2"/>
          </rPr>
          <t xml:space="preserve">¿En que medida este factor influye  favorablemente al crecimiento de la institución?
</t>
        </r>
        <r>
          <rPr>
            <sz val="12"/>
            <color rgb="FF000000"/>
            <rFont val="Calibri"/>
            <family val="2"/>
          </rPr>
          <t xml:space="preserve">
</t>
        </r>
        <r>
          <rPr>
            <sz val="12"/>
            <color rgb="FF000000"/>
            <rFont val="Calibri"/>
            <family val="2"/>
          </rPr>
          <t xml:space="preserve">Debilidad:
</t>
        </r>
        <r>
          <rPr>
            <sz val="12"/>
            <color rgb="FF000000"/>
            <rFont val="Calibri"/>
            <family val="2"/>
          </rPr>
          <t xml:space="preserve">¿En que medida este factor afecta al crecimiento de nuestra la institución?
</t>
        </r>
      </text>
    </comment>
  </commentList>
</comments>
</file>

<file path=xl/sharedStrings.xml><?xml version="1.0" encoding="utf-8"?>
<sst xmlns="http://schemas.openxmlformats.org/spreadsheetml/2006/main" count="91" uniqueCount="44">
  <si>
    <t>CASO DE ESTUDIO: INCAMOTORS S.A.C
Análisis Interno</t>
  </si>
  <si>
    <t>MATRIZ DE ANALISIS AMOFHIT</t>
  </si>
  <si>
    <t>Influye</t>
  </si>
  <si>
    <t>Afecta</t>
  </si>
  <si>
    <t>Listado de fatores internos relevantes para el estudio:</t>
  </si>
  <si>
    <t>Fortalezas</t>
  </si>
  <si>
    <t>Debilidades</t>
  </si>
  <si>
    <t>Criterios de inclusión de las variables clave</t>
  </si>
  <si>
    <t>Total</t>
  </si>
  <si>
    <t xml:space="preserve">Filosofía, misión y visión  </t>
  </si>
  <si>
    <t>Calidad y Servicio</t>
  </si>
  <si>
    <t xml:space="preserve">Imagen </t>
  </si>
  <si>
    <t xml:space="preserve">Crecimiento </t>
  </si>
  <si>
    <t>Experiencia consolidada en el rubro automotriz nacional.</t>
  </si>
  <si>
    <t>X</t>
  </si>
  <si>
    <t>Alianzas estratégicas con marcas internacionales.</t>
  </si>
  <si>
    <t>Personal técnico certificado y capacitado</t>
  </si>
  <si>
    <t>Alta dependencia de vehículos importados (vulnerable al tipo de cambio).</t>
  </si>
  <si>
    <t>Implementación de sistemas digitales de ventas y CRM.</t>
  </si>
  <si>
    <t>Limitada oferta de vehículos eléctricos o híbridos.</t>
  </si>
  <si>
    <t>Procesos administrativos poco automatizados.</t>
  </si>
  <si>
    <t>Buen posicionamiento de marca y reputación comercial.</t>
  </si>
  <si>
    <t>Falta de diversificación en líneas de negocio.</t>
  </si>
  <si>
    <t>Políticas de servicio postventa y atención al cliente.</t>
  </si>
  <si>
    <t>Capacidad de adaptación a regulaciones ambientales.</t>
  </si>
  <si>
    <t>Escasa presencia en regiones fuera de Lima.</t>
  </si>
  <si>
    <t>Dependencia de proveedores extranjeros.</t>
  </si>
  <si>
    <t>Baja inversión en innovación tecnológica.</t>
  </si>
  <si>
    <t>Falta de alianzas financieras para crédito vehicular.</t>
  </si>
  <si>
    <t>Eficiencia en los procesos logísticos de importación y distribución.</t>
  </si>
  <si>
    <t>Sistema contable y de control interno automatizado.</t>
  </si>
  <si>
    <t>Ausencia de un sistema robusto de evaluación del desempeño.</t>
  </si>
  <si>
    <t>Baja participación en licitaciones del sector público o corporativo.</t>
  </si>
  <si>
    <t>Poca innovación en estrategias de ventas personalizadas.</t>
  </si>
  <si>
    <t>Posicionamiento en segmentos de gama media y alta.</t>
  </si>
  <si>
    <t>Implementación de prácticas de sostenibilidad (reciclaje, emisiones).</t>
  </si>
  <si>
    <t>Alta satisfacción del cliente según encuestas internas.</t>
  </si>
  <si>
    <t>Matriz de Evaluación de Factores Internos (EFI)</t>
  </si>
  <si>
    <t>Factores Internos clave</t>
  </si>
  <si>
    <t>Ponderación</t>
  </si>
  <si>
    <t xml:space="preserve">Calificacion </t>
  </si>
  <si>
    <t>Puntuación ponderada</t>
  </si>
  <si>
    <t>Poca innovación en estrategias de ventas personalizadas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</si>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</sst>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name val="Calibri"/>
      <family val="2"/>
    </font>
    <font>
      <sz val="9"/>
      <color rgb="FF000000"/>
      <name val="Frutigerltstd"/>
    </font>
    <font>
      <sz val="9"/>
      <color rgb="FF000000"/>
      <name val="Times"/>
      <family val="1"/>
    </font>
    <font>
      <b/>
      <sz val="9"/>
      <color rgb="FF000000"/>
      <name val="Times"/>
      <family val="1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sz val="10"/>
      <color rgb="FF0061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8"/>
      <color rgb="FF000000"/>
      <name val="Calibri"/>
      <family val="2"/>
    </font>
    <font>
      <b/>
      <i/>
      <sz val="14"/>
      <color rgb="FF000000"/>
      <name val="Calibri"/>
      <family val="2"/>
    </font>
    <font>
      <sz val="14"/>
      <color rgb="FF000000"/>
      <name val="Calibri"/>
      <family val="2"/>
    </font>
    <font>
      <sz val="18"/>
      <color rgb="FF000000"/>
      <name val="Calibri"/>
      <family val="2"/>
    </font>
    <font>
      <sz val="10"/>
      <color theme="0"/>
      <name val="Calibri"/>
      <family val="2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000000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/>
    <xf numFmtId="0" fontId="6" fillId="2" borderId="0" xfId="0" applyFont="1" applyFill="1"/>
    <xf numFmtId="0" fontId="11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2" borderId="0" xfId="0" applyFont="1" applyFill="1"/>
    <xf numFmtId="0" fontId="14" fillId="2" borderId="0" xfId="0" applyFont="1" applyFill="1" applyAlignment="1">
      <alignment horizontal="center" vertical="center"/>
    </xf>
    <xf numFmtId="0" fontId="14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center" vertical="center"/>
    </xf>
    <xf numFmtId="0" fontId="3" fillId="2" borderId="0" xfId="0" applyFont="1" applyFill="1"/>
    <xf numFmtId="0" fontId="6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2" fontId="0" fillId="0" borderId="8" xfId="0" applyNumberForma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/>
    </xf>
    <xf numFmtId="2" fontId="15" fillId="4" borderId="0" xfId="0" applyNumberFormat="1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20" fillId="0" borderId="20" xfId="0" applyFont="1" applyBorder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 readingOrder="1"/>
    </xf>
    <xf numFmtId="0" fontId="7" fillId="5" borderId="17" xfId="0" applyFont="1" applyFill="1" applyBorder="1" applyAlignment="1">
      <alignment horizontal="center" vertical="center" wrapText="1" readingOrder="1"/>
    </xf>
    <xf numFmtId="0" fontId="7" fillId="5" borderId="13" xfId="0" applyFont="1" applyFill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6" borderId="7" xfId="0" applyFont="1" applyFill="1" applyBorder="1" applyAlignment="1">
      <alignment horizontal="center" vertical="center" wrapText="1" readingOrder="1"/>
    </xf>
    <xf numFmtId="0" fontId="7" fillId="6" borderId="17" xfId="0" applyFont="1" applyFill="1" applyBorder="1" applyAlignment="1">
      <alignment horizontal="center" vertical="center" wrapText="1" readingOrder="1"/>
    </xf>
    <xf numFmtId="0" fontId="7" fillId="6" borderId="13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2" fillId="0" borderId="4" xfId="0" applyFont="1" applyBorder="1" applyAlignment="1"/>
    <xf numFmtId="0" fontId="1" fillId="0" borderId="6" xfId="0" applyFont="1" applyBorder="1" applyAlignment="1">
      <alignment horizontal="left"/>
    </xf>
    <xf numFmtId="0" fontId="2" fillId="0" borderId="6" xfId="0" applyFont="1" applyBorder="1" applyAlignment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552450</xdr:colOff>
      <xdr:row>29</xdr:row>
      <xdr:rowOff>0</xdr:rowOff>
    </xdr:to>
    <xdr:sp macro="" textlink="">
      <xdr:nvSpPr>
        <xdr:cNvPr id="1029" name="Rectangle 5" hidden="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29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944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29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944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29</xdr:row>
      <xdr:rowOff>0</xdr:rowOff>
    </xdr:to>
    <xdr:sp macro="" textlink="">
      <xdr:nvSpPr>
        <xdr:cNvPr id="5" name="Autoforma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3175" cy="944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29</xdr:row>
      <xdr:rowOff>0</xdr:rowOff>
    </xdr:to>
    <xdr:sp macro="" textlink="">
      <xdr:nvSpPr>
        <xdr:cNvPr id="6" name="Autoform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91400" cy="7877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552450</xdr:colOff>
      <xdr:row>29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91400" cy="78771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565150</xdr:colOff>
      <xdr:row>29</xdr:row>
      <xdr:rowOff>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914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596900</xdr:colOff>
      <xdr:row>26</xdr:row>
      <xdr:rowOff>114300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914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595313</xdr:colOff>
      <xdr:row>29</xdr:row>
      <xdr:rowOff>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914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994"/>
  <sheetViews>
    <sheetView showGridLines="0" tabSelected="1" view="pageLayout" zoomScale="55" zoomScaleNormal="100" zoomScalePageLayoutView="55" workbookViewId="0">
      <selection activeCell="F30" sqref="F30"/>
    </sheetView>
  </sheetViews>
  <sheetFormatPr baseColWidth="10" defaultColWidth="11.25" defaultRowHeight="15" customHeight="1"/>
  <cols>
    <col min="1" max="1" width="3.5" style="2" customWidth="1"/>
    <col min="2" max="2" width="40.875" style="24" customWidth="1"/>
    <col min="3" max="3" width="11.25" style="2" customWidth="1"/>
    <col min="4" max="4" width="10.375" style="2" customWidth="1"/>
    <col min="5" max="5" width="12" style="2" customWidth="1"/>
    <col min="6" max="6" width="11.75" style="2" customWidth="1"/>
    <col min="7" max="18" width="10.5" style="2" customWidth="1"/>
    <col min="19" max="16384" width="11.25" style="2"/>
  </cols>
  <sheetData>
    <row r="1" spans="2:10" ht="34.5" customHeight="1">
      <c r="B1" s="52" t="s">
        <v>0</v>
      </c>
      <c r="C1" s="52"/>
      <c r="D1" s="52"/>
      <c r="E1" s="52"/>
      <c r="F1" s="52"/>
      <c r="G1" s="52"/>
      <c r="H1" s="52"/>
      <c r="I1" s="52"/>
    </row>
    <row r="2" spans="2:10" ht="26.25" customHeight="1">
      <c r="B2" s="53" t="s">
        <v>1</v>
      </c>
      <c r="C2" s="53"/>
      <c r="D2" s="53"/>
      <c r="E2" s="53"/>
      <c r="F2" s="53"/>
      <c r="G2" s="53"/>
      <c r="H2" s="53"/>
      <c r="I2" s="53"/>
    </row>
    <row r="3" spans="2:10" ht="16.5" customHeight="1">
      <c r="C3" s="26" t="s">
        <v>2</v>
      </c>
      <c r="D3" s="26" t="s">
        <v>3</v>
      </c>
      <c r="E3" s="60"/>
      <c r="F3" s="61"/>
      <c r="G3" s="61"/>
      <c r="H3" s="61"/>
      <c r="I3" s="61"/>
    </row>
    <row r="4" spans="2:10" ht="24.75" customHeight="1">
      <c r="B4" s="54" t="s">
        <v>4</v>
      </c>
      <c r="C4" s="57" t="s">
        <v>5</v>
      </c>
      <c r="D4" s="62" t="s">
        <v>6</v>
      </c>
      <c r="E4" s="65" t="s">
        <v>7</v>
      </c>
      <c r="F4" s="66"/>
      <c r="G4" s="66"/>
      <c r="H4" s="66"/>
      <c r="I4" s="67"/>
    </row>
    <row r="5" spans="2:10" ht="16.5" customHeight="1">
      <c r="B5" s="55"/>
      <c r="C5" s="58"/>
      <c r="D5" s="63"/>
      <c r="E5" s="27">
        <v>0.3</v>
      </c>
      <c r="F5" s="27">
        <v>0.25</v>
      </c>
      <c r="G5" s="27">
        <v>0.2</v>
      </c>
      <c r="H5" s="27">
        <v>0.25</v>
      </c>
      <c r="I5" s="68" t="s">
        <v>8</v>
      </c>
      <c r="J5"/>
    </row>
    <row r="6" spans="2:10" ht="28.5" customHeight="1">
      <c r="B6" s="56"/>
      <c r="C6" s="59"/>
      <c r="D6" s="64"/>
      <c r="E6" s="43" t="s">
        <v>9</v>
      </c>
      <c r="F6" s="43" t="s">
        <v>10</v>
      </c>
      <c r="G6" s="43" t="s">
        <v>11</v>
      </c>
      <c r="H6" s="43" t="s">
        <v>12</v>
      </c>
      <c r="I6" s="69"/>
    </row>
    <row r="7" spans="2:10" ht="24.75" customHeight="1">
      <c r="B7" s="29" t="s">
        <v>13</v>
      </c>
      <c r="C7" s="30" t="s">
        <v>14</v>
      </c>
      <c r="D7" s="30"/>
      <c r="E7" s="42">
        <v>5</v>
      </c>
      <c r="F7" s="42">
        <v>5</v>
      </c>
      <c r="G7" s="42">
        <v>4</v>
      </c>
      <c r="H7" s="42">
        <v>5</v>
      </c>
      <c r="I7" s="28">
        <f>(E7*E5)+(F7*F5)+(G7*G5)+(H7*H5)</f>
        <v>4.8</v>
      </c>
    </row>
    <row r="8" spans="2:10" ht="24.75" customHeight="1">
      <c r="B8" s="29" t="s">
        <v>15</v>
      </c>
      <c r="C8" s="30" t="s">
        <v>14</v>
      </c>
      <c r="D8" s="30"/>
      <c r="E8" s="42">
        <v>5</v>
      </c>
      <c r="F8" s="42">
        <v>4</v>
      </c>
      <c r="G8" s="42">
        <v>5</v>
      </c>
      <c r="H8" s="42">
        <v>5</v>
      </c>
      <c r="I8" s="28">
        <f>(E8*E5)+(F8*F5)+(G8*G5)+(H8*H5)</f>
        <v>4.75</v>
      </c>
    </row>
    <row r="9" spans="2:10" ht="24.75" customHeight="1">
      <c r="B9" s="29" t="s">
        <v>16</v>
      </c>
      <c r="C9" s="30" t="s">
        <v>14</v>
      </c>
      <c r="D9" s="30"/>
      <c r="E9" s="42">
        <v>4</v>
      </c>
      <c r="F9" s="42">
        <v>5</v>
      </c>
      <c r="G9" s="42">
        <v>4</v>
      </c>
      <c r="H9" s="42">
        <v>4</v>
      </c>
      <c r="I9" s="28">
        <f>(E9*E5)+(F9*F5)+(G9*G5)+(H9*H5)</f>
        <v>4.25</v>
      </c>
    </row>
    <row r="10" spans="2:10" ht="32.25" customHeight="1">
      <c r="B10" s="29" t="s">
        <v>17</v>
      </c>
      <c r="C10" s="30"/>
      <c r="D10" s="30" t="s">
        <v>14</v>
      </c>
      <c r="E10" s="42">
        <v>2</v>
      </c>
      <c r="F10" s="42">
        <v>2</v>
      </c>
      <c r="G10" s="42">
        <v>3</v>
      </c>
      <c r="H10" s="42">
        <v>2</v>
      </c>
      <c r="I10" s="28">
        <f>(E10*E5)+(F10*F5)+(G10*G5)+(H10*H5)</f>
        <v>2.2000000000000002</v>
      </c>
    </row>
    <row r="11" spans="2:10" ht="24.75" customHeight="1">
      <c r="B11" s="29" t="s">
        <v>18</v>
      </c>
      <c r="C11" s="30" t="s">
        <v>14</v>
      </c>
      <c r="D11" s="30"/>
      <c r="E11" s="42">
        <v>4</v>
      </c>
      <c r="F11" s="42">
        <v>4</v>
      </c>
      <c r="G11" s="42">
        <v>4</v>
      </c>
      <c r="H11" s="42">
        <v>4</v>
      </c>
      <c r="I11" s="28">
        <f>(E11*E5)+(F11*F5)+(G11*G5)+(H11*H5)</f>
        <v>4</v>
      </c>
    </row>
    <row r="12" spans="2:10" ht="24.75" customHeight="1">
      <c r="B12" s="29" t="s">
        <v>19</v>
      </c>
      <c r="C12" s="30"/>
      <c r="D12" s="30" t="s">
        <v>14</v>
      </c>
      <c r="E12" s="42">
        <v>2</v>
      </c>
      <c r="F12" s="42">
        <v>3</v>
      </c>
      <c r="G12" s="42">
        <v>2</v>
      </c>
      <c r="H12" s="42">
        <v>2</v>
      </c>
      <c r="I12" s="28">
        <f>(E12*E5)+(F12*F5)+(G12*G5)+(H12*H5)</f>
        <v>2.25</v>
      </c>
    </row>
    <row r="13" spans="2:10" ht="24.75" customHeight="1">
      <c r="B13" s="29" t="s">
        <v>20</v>
      </c>
      <c r="C13" s="30"/>
      <c r="D13" s="30" t="s">
        <v>14</v>
      </c>
      <c r="E13" s="42">
        <v>2</v>
      </c>
      <c r="F13" s="42">
        <v>2</v>
      </c>
      <c r="G13" s="42">
        <v>2</v>
      </c>
      <c r="H13" s="42">
        <v>3</v>
      </c>
      <c r="I13" s="28">
        <f>(E13*E5)+(F13*F5)+(G13*G5)+(H13*H5)</f>
        <v>2.25</v>
      </c>
    </row>
    <row r="14" spans="2:10" ht="24.75" customHeight="1">
      <c r="B14" s="29" t="s">
        <v>21</v>
      </c>
      <c r="C14" s="30" t="s">
        <v>14</v>
      </c>
      <c r="D14" s="30"/>
      <c r="E14" s="42">
        <v>4</v>
      </c>
      <c r="F14" s="42">
        <v>3</v>
      </c>
      <c r="G14" s="42">
        <v>5</v>
      </c>
      <c r="H14" s="42">
        <v>4</v>
      </c>
      <c r="I14" s="28">
        <f>(E14*E5)+(F14*F5)+(G14*G5)+(H14*H5)</f>
        <v>3.95</v>
      </c>
    </row>
    <row r="15" spans="2:10" ht="24.75" customHeight="1">
      <c r="B15" s="29" t="s">
        <v>22</v>
      </c>
      <c r="C15" s="30"/>
      <c r="D15" s="30" t="s">
        <v>14</v>
      </c>
      <c r="E15" s="42">
        <v>2</v>
      </c>
      <c r="F15" s="42">
        <v>3</v>
      </c>
      <c r="G15" s="42">
        <v>2</v>
      </c>
      <c r="H15" s="42">
        <v>2</v>
      </c>
      <c r="I15" s="28">
        <f>(E15*E5)+(F15*F5)+(G15*G5)+(H15*H5)</f>
        <v>2.25</v>
      </c>
    </row>
    <row r="16" spans="2:10" ht="24.75" customHeight="1">
      <c r="B16" s="29" t="s">
        <v>23</v>
      </c>
      <c r="C16" s="30" t="s">
        <v>14</v>
      </c>
      <c r="D16" s="30"/>
      <c r="E16" s="42">
        <v>3</v>
      </c>
      <c r="F16" s="42">
        <v>4</v>
      </c>
      <c r="G16" s="42">
        <v>4</v>
      </c>
      <c r="H16" s="42">
        <v>3</v>
      </c>
      <c r="I16" s="28">
        <f>(E16*E5)+(F16*F5)+(G16*G5)+(H16*H5)</f>
        <v>3.45</v>
      </c>
    </row>
    <row r="17" spans="2:9" ht="24.75" customHeight="1">
      <c r="B17" s="29" t="s">
        <v>24</v>
      </c>
      <c r="C17" s="30" t="s">
        <v>14</v>
      </c>
      <c r="D17" s="30"/>
      <c r="E17" s="42">
        <v>3</v>
      </c>
      <c r="F17" s="42">
        <v>3</v>
      </c>
      <c r="G17" s="42">
        <v>3</v>
      </c>
      <c r="H17" s="42">
        <v>4</v>
      </c>
      <c r="I17" s="28">
        <f>(E17*E5)+(F17*F5)+(G17*G5)+(H17*H5)</f>
        <v>3.25</v>
      </c>
    </row>
    <row r="18" spans="2:9" ht="24.75" customHeight="1">
      <c r="B18" s="29" t="s">
        <v>25</v>
      </c>
      <c r="C18" s="30"/>
      <c r="D18" s="30" t="s">
        <v>14</v>
      </c>
      <c r="E18" s="42">
        <v>2</v>
      </c>
      <c r="F18" s="42">
        <v>2</v>
      </c>
      <c r="G18" s="42">
        <v>3</v>
      </c>
      <c r="H18" s="42">
        <v>2</v>
      </c>
      <c r="I18" s="28">
        <f>(E18*E5)+(F18*F5)+(G18*G5)+(H18*H5)</f>
        <v>2.2000000000000002</v>
      </c>
    </row>
    <row r="19" spans="2:9" ht="24.75" customHeight="1">
      <c r="B19" s="29" t="s">
        <v>26</v>
      </c>
      <c r="C19" s="30"/>
      <c r="D19" s="30" t="s">
        <v>14</v>
      </c>
      <c r="E19" s="42">
        <v>2</v>
      </c>
      <c r="F19" s="42">
        <v>2</v>
      </c>
      <c r="G19" s="42">
        <v>2</v>
      </c>
      <c r="H19" s="42">
        <v>2</v>
      </c>
      <c r="I19" s="28">
        <f>(E19*E5)+(F19*F5)+(G19*G5)+(H19*H5)</f>
        <v>2</v>
      </c>
    </row>
    <row r="20" spans="2:9" ht="24.75" customHeight="1">
      <c r="B20" s="29" t="s">
        <v>27</v>
      </c>
      <c r="C20" s="30"/>
      <c r="D20" s="30" t="s">
        <v>14</v>
      </c>
      <c r="E20" s="42">
        <v>2</v>
      </c>
      <c r="F20" s="42">
        <v>3</v>
      </c>
      <c r="G20" s="42">
        <v>2</v>
      </c>
      <c r="H20" s="42">
        <v>2</v>
      </c>
      <c r="I20" s="28">
        <f>(E20*E5)+(F20*F5)+(G20*G5)+(H20*H5)</f>
        <v>2.25</v>
      </c>
    </row>
    <row r="21" spans="2:9" ht="24.75" customHeight="1">
      <c r="B21" s="29" t="s">
        <v>28</v>
      </c>
      <c r="C21" s="30"/>
      <c r="D21" s="30" t="s">
        <v>14</v>
      </c>
      <c r="E21" s="42">
        <v>2</v>
      </c>
      <c r="F21" s="42">
        <v>3</v>
      </c>
      <c r="G21" s="42">
        <v>2</v>
      </c>
      <c r="H21" s="42"/>
      <c r="I21" s="28">
        <f>(E21*E5)+(F21*F5)+(G21*G5)+(H21*H5)</f>
        <v>1.75</v>
      </c>
    </row>
    <row r="22" spans="2:9" ht="31.5" customHeight="1">
      <c r="B22" s="31" t="s">
        <v>29</v>
      </c>
      <c r="C22" s="32" t="s">
        <v>14</v>
      </c>
      <c r="D22" s="32"/>
      <c r="E22" s="33">
        <v>5</v>
      </c>
      <c r="F22" s="33">
        <v>4</v>
      </c>
      <c r="G22" s="33">
        <v>4</v>
      </c>
      <c r="H22" s="33">
        <v>5</v>
      </c>
      <c r="I22" s="34">
        <f>(E22*E5)+(F22*F5)+(G22*G5)+(H22*H5)</f>
        <v>4.55</v>
      </c>
    </row>
    <row r="23" spans="2:9" ht="24.75" customHeight="1">
      <c r="B23" s="29" t="s">
        <v>30</v>
      </c>
      <c r="C23" s="30" t="s">
        <v>14</v>
      </c>
      <c r="D23" s="30"/>
      <c r="E23" s="42">
        <v>4</v>
      </c>
      <c r="F23" s="42">
        <v>4</v>
      </c>
      <c r="G23" s="42">
        <v>4</v>
      </c>
      <c r="H23" s="42">
        <v>4</v>
      </c>
      <c r="I23" s="28">
        <f>(E23*E5)+(F23*F5)+(G23*G5)+(H23*H5)</f>
        <v>4</v>
      </c>
    </row>
    <row r="24" spans="2:9" ht="27.75" customHeight="1">
      <c r="B24" s="29" t="s">
        <v>31</v>
      </c>
      <c r="C24" s="25"/>
      <c r="D24" s="25" t="s">
        <v>14</v>
      </c>
      <c r="E24" s="42">
        <v>2</v>
      </c>
      <c r="F24" s="42">
        <v>3</v>
      </c>
      <c r="G24" s="42">
        <v>2</v>
      </c>
      <c r="H24" s="42">
        <v>2</v>
      </c>
      <c r="I24" s="28">
        <f>(E24*E5)+(F24*F5)+(G24*G5)+(H24*H5)</f>
        <v>2.25</v>
      </c>
    </row>
    <row r="25" spans="2:9" ht="28.5" customHeight="1">
      <c r="B25" s="29" t="s">
        <v>32</v>
      </c>
      <c r="C25" s="25"/>
      <c r="D25" s="25" t="s">
        <v>14</v>
      </c>
      <c r="E25" s="42">
        <v>2</v>
      </c>
      <c r="F25" s="42">
        <v>3</v>
      </c>
      <c r="G25" s="42">
        <v>2</v>
      </c>
      <c r="H25" s="42">
        <v>2</v>
      </c>
      <c r="I25" s="28">
        <f>(E25*E5)+(F25*F5)+(G25*G5)+(H25*H5)</f>
        <v>2.25</v>
      </c>
    </row>
    <row r="26" spans="2:9" ht="24.75" customHeight="1">
      <c r="B26" s="29" t="s">
        <v>33</v>
      </c>
      <c r="C26" s="25"/>
      <c r="D26" s="25" t="s">
        <v>14</v>
      </c>
      <c r="E26" s="42">
        <v>2</v>
      </c>
      <c r="F26" s="42">
        <v>3</v>
      </c>
      <c r="G26" s="42">
        <v>3</v>
      </c>
      <c r="H26" s="42">
        <v>2</v>
      </c>
      <c r="I26" s="28">
        <f>(E26*E5)+(F26*F5)+(G26*G5)+(H26*H5)</f>
        <v>2.4500000000000002</v>
      </c>
    </row>
    <row r="27" spans="2:9" ht="24.75" customHeight="1">
      <c r="B27" s="29" t="s">
        <v>34</v>
      </c>
      <c r="C27" s="25" t="s">
        <v>14</v>
      </c>
      <c r="D27" s="25"/>
      <c r="E27" s="42">
        <v>4</v>
      </c>
      <c r="F27" s="42">
        <v>3</v>
      </c>
      <c r="G27" s="42">
        <v>4</v>
      </c>
      <c r="H27" s="42">
        <v>4</v>
      </c>
      <c r="I27" s="28">
        <f>(E27*E5)+(F27*F5)+(G27*G5)+(H27*H5)</f>
        <v>3.75</v>
      </c>
    </row>
    <row r="28" spans="2:9" ht="30.75" customHeight="1">
      <c r="B28" s="29" t="s">
        <v>35</v>
      </c>
      <c r="C28" s="25" t="s">
        <v>14</v>
      </c>
      <c r="D28" s="25"/>
      <c r="E28" s="42">
        <v>4</v>
      </c>
      <c r="F28" s="42">
        <v>3</v>
      </c>
      <c r="G28" s="42">
        <v>4</v>
      </c>
      <c r="H28" s="42">
        <v>3</v>
      </c>
      <c r="I28" s="28">
        <f>(E28*E5)+(F28*F5)+(G28*G5)+(H28*H5)</f>
        <v>3.5</v>
      </c>
    </row>
    <row r="29" spans="2:9" ht="24.75" customHeight="1">
      <c r="B29" s="29" t="s">
        <v>36</v>
      </c>
      <c r="C29" s="25" t="s">
        <v>14</v>
      </c>
      <c r="D29" s="25"/>
      <c r="E29" s="42">
        <v>5</v>
      </c>
      <c r="F29" s="42">
        <v>4</v>
      </c>
      <c r="G29" s="42">
        <v>5</v>
      </c>
      <c r="H29" s="42">
        <v>5</v>
      </c>
      <c r="I29" s="28">
        <f>(E29*E5)+(F29*F5)+(G29*G5)+(H29*H5)</f>
        <v>4.75</v>
      </c>
    </row>
    <row r="30" spans="2:9" ht="12.75"/>
    <row r="31" spans="2:9" ht="12.75"/>
    <row r="32" spans="2:9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</sheetData>
  <mergeCells count="8">
    <mergeCell ref="B1:I1"/>
    <mergeCell ref="B2:I2"/>
    <mergeCell ref="B4:B6"/>
    <mergeCell ref="C4:C6"/>
    <mergeCell ref="E3:I3"/>
    <mergeCell ref="D4:D6"/>
    <mergeCell ref="E4:I4"/>
    <mergeCell ref="I5:I6"/>
  </mergeCells>
  <conditionalFormatting sqref="I7:I29">
    <cfRule type="cellIs" dxfId="2" priority="1" operator="lessThan">
      <formula>3.275</formula>
    </cfRule>
    <cfRule type="cellIs" dxfId="1" priority="2" operator="greaterThan">
      <formula>3</formula>
    </cfRule>
    <cfRule type="cellIs" dxfId="0" priority="3" operator="greaterThan">
      <formula>3.75</formula>
    </cfRule>
  </conditionalFormatting>
  <pageMargins left="0" right="0" top="0" bottom="0" header="0" footer="0"/>
  <pageSetup scale="79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8"/>
  <sheetViews>
    <sheetView showGridLines="0" view="pageBreakPreview" zoomScale="60" zoomScaleNormal="85" workbookViewId="0">
      <selection activeCell="I25" sqref="I25"/>
    </sheetView>
  </sheetViews>
  <sheetFormatPr baseColWidth="10" defaultColWidth="11.25" defaultRowHeight="15" customHeight="1"/>
  <cols>
    <col min="1" max="2" width="5.5" customWidth="1"/>
    <col min="3" max="3" width="63" customWidth="1"/>
    <col min="4" max="4" width="15.375" customWidth="1"/>
    <col min="5" max="5" width="14.75" customWidth="1"/>
    <col min="6" max="6" width="14" customWidth="1"/>
    <col min="7" max="16" width="10.5" customWidth="1"/>
  </cols>
  <sheetData>
    <row r="1" spans="1:18" s="2" customFormat="1" ht="34.5" customHeight="1">
      <c r="A1" s="8"/>
      <c r="B1" s="78" t="s">
        <v>0</v>
      </c>
      <c r="C1" s="78"/>
      <c r="D1" s="78"/>
      <c r="E1" s="78"/>
      <c r="F1" s="78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</row>
    <row r="2" spans="1:18" s="2" customFormat="1" ht="36" customHeight="1">
      <c r="A2" s="8"/>
      <c r="B2" s="79" t="s">
        <v>37</v>
      </c>
      <c r="C2" s="79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</row>
    <row r="3" spans="1:18" s="1" customFormat="1" ht="31.5">
      <c r="A3" s="9"/>
      <c r="B3" s="70" t="s">
        <v>38</v>
      </c>
      <c r="C3" s="71"/>
      <c r="D3" s="6" t="s">
        <v>39</v>
      </c>
      <c r="E3" s="6" t="s">
        <v>40</v>
      </c>
      <c r="F3" s="6" t="s">
        <v>41</v>
      </c>
      <c r="G3" s="14"/>
      <c r="H3" s="14"/>
      <c r="I3" s="14"/>
      <c r="J3" s="14"/>
      <c r="K3" s="14"/>
    </row>
    <row r="4" spans="1:18" ht="20.25" customHeight="1" thickBot="1">
      <c r="A4" s="10"/>
      <c r="B4" s="72" t="s">
        <v>5</v>
      </c>
      <c r="C4" s="73"/>
      <c r="D4" s="22"/>
      <c r="E4" s="22"/>
      <c r="F4" s="22"/>
      <c r="G4" s="11"/>
      <c r="H4" s="11"/>
      <c r="I4" s="11"/>
      <c r="J4" s="11"/>
      <c r="K4" s="11"/>
    </row>
    <row r="5" spans="1:18" ht="15.75" customHeight="1">
      <c r="A5" s="10"/>
      <c r="B5" s="14">
        <v>1</v>
      </c>
      <c r="C5" s="19" t="s">
        <v>13</v>
      </c>
      <c r="D5" s="20">
        <v>7.0000000000000007E-2</v>
      </c>
      <c r="E5" s="20">
        <v>4</v>
      </c>
      <c r="F5" s="21">
        <f t="shared" ref="F5:F16" si="0">D5*E5</f>
        <v>0.28000000000000003</v>
      </c>
      <c r="G5" s="11"/>
      <c r="H5" s="11"/>
      <c r="I5" s="11"/>
      <c r="J5" s="11"/>
      <c r="K5" s="11"/>
    </row>
    <row r="6" spans="1:18" ht="15.75" customHeight="1">
      <c r="A6" s="10"/>
      <c r="B6" s="14">
        <v>2</v>
      </c>
      <c r="C6" s="16" t="s">
        <v>15</v>
      </c>
      <c r="D6" s="17">
        <v>0.06</v>
      </c>
      <c r="E6" s="17">
        <v>4</v>
      </c>
      <c r="F6" s="18">
        <f t="shared" si="0"/>
        <v>0.24</v>
      </c>
      <c r="G6" s="11"/>
      <c r="H6" s="11"/>
      <c r="I6" s="11"/>
      <c r="J6" s="11"/>
      <c r="K6" s="11"/>
    </row>
    <row r="7" spans="1:18" ht="15.75" customHeight="1">
      <c r="A7" s="10"/>
      <c r="B7" s="14">
        <v>3</v>
      </c>
      <c r="C7" s="16" t="s">
        <v>16</v>
      </c>
      <c r="D7" s="18">
        <v>0.05</v>
      </c>
      <c r="E7" s="17">
        <v>3</v>
      </c>
      <c r="F7" s="18">
        <f t="shared" si="0"/>
        <v>0.15000000000000002</v>
      </c>
      <c r="G7" s="11"/>
      <c r="H7" s="11"/>
      <c r="I7" s="11"/>
      <c r="J7" s="15"/>
      <c r="K7" s="11"/>
    </row>
    <row r="8" spans="1:18" ht="15.75" customHeight="1">
      <c r="A8" s="10"/>
      <c r="B8" s="14">
        <v>4</v>
      </c>
      <c r="C8" s="16" t="s">
        <v>18</v>
      </c>
      <c r="D8" s="17">
        <v>0.04</v>
      </c>
      <c r="E8" s="17">
        <v>3</v>
      </c>
      <c r="F8" s="18">
        <f t="shared" si="0"/>
        <v>0.12</v>
      </c>
      <c r="G8" s="11"/>
      <c r="H8" s="11"/>
      <c r="I8" s="11"/>
      <c r="J8" s="11"/>
      <c r="K8" s="11"/>
    </row>
    <row r="9" spans="1:18" ht="17.25" customHeight="1">
      <c r="A9" s="10"/>
      <c r="B9" s="14">
        <v>5</v>
      </c>
      <c r="C9" s="16" t="s">
        <v>21</v>
      </c>
      <c r="D9" s="17">
        <v>0.06</v>
      </c>
      <c r="E9" s="17">
        <v>4</v>
      </c>
      <c r="F9" s="18">
        <f t="shared" si="0"/>
        <v>0.24</v>
      </c>
      <c r="G9" s="11"/>
      <c r="H9" s="11"/>
      <c r="I9" s="11"/>
      <c r="J9" s="12"/>
      <c r="K9" s="11"/>
    </row>
    <row r="10" spans="1:18" ht="15.75" customHeight="1">
      <c r="A10" s="10"/>
      <c r="B10" s="14">
        <v>6</v>
      </c>
      <c r="C10" s="16" t="s">
        <v>23</v>
      </c>
      <c r="D10" s="17">
        <v>0.05</v>
      </c>
      <c r="E10" s="17">
        <v>3</v>
      </c>
      <c r="F10" s="18">
        <f t="shared" si="0"/>
        <v>0.15000000000000002</v>
      </c>
      <c r="G10" s="11"/>
      <c r="H10" s="11"/>
      <c r="I10" s="11"/>
      <c r="J10" s="11"/>
      <c r="K10" s="11"/>
    </row>
    <row r="11" spans="1:18" ht="15.75" customHeight="1">
      <c r="A11" s="10"/>
      <c r="B11" s="14">
        <v>7</v>
      </c>
      <c r="C11" s="16" t="s">
        <v>24</v>
      </c>
      <c r="D11" s="17">
        <v>0.04</v>
      </c>
      <c r="E11" s="17">
        <v>3</v>
      </c>
      <c r="F11" s="18">
        <f t="shared" si="0"/>
        <v>0.12</v>
      </c>
      <c r="G11" s="11"/>
      <c r="H11" s="11"/>
      <c r="I11" s="11"/>
      <c r="J11" s="12"/>
      <c r="K11" s="11"/>
    </row>
    <row r="12" spans="1:18" ht="15.75" customHeight="1">
      <c r="A12" s="10"/>
      <c r="B12" s="14">
        <v>8</v>
      </c>
      <c r="C12" s="16" t="s">
        <v>29</v>
      </c>
      <c r="D12" s="17">
        <v>0.05</v>
      </c>
      <c r="E12" s="17">
        <v>4</v>
      </c>
      <c r="F12" s="18">
        <f>D12*E12</f>
        <v>0.2</v>
      </c>
      <c r="G12" s="11"/>
      <c r="H12" s="11"/>
      <c r="I12" s="11"/>
      <c r="J12" s="12"/>
      <c r="K12" s="11"/>
    </row>
    <row r="13" spans="1:18" ht="15.75" customHeight="1">
      <c r="A13" s="10"/>
      <c r="B13" s="14">
        <v>9</v>
      </c>
      <c r="C13" s="16" t="s">
        <v>30</v>
      </c>
      <c r="D13" s="17">
        <v>0.04</v>
      </c>
      <c r="E13" s="17">
        <v>4</v>
      </c>
      <c r="F13" s="18">
        <f t="shared" si="0"/>
        <v>0.16</v>
      </c>
      <c r="G13" s="11"/>
      <c r="H13" s="11"/>
      <c r="I13" s="11"/>
      <c r="J13" s="12"/>
      <c r="K13" s="11"/>
    </row>
    <row r="14" spans="1:18" ht="15.75" customHeight="1">
      <c r="A14" s="10"/>
      <c r="B14" s="14">
        <v>10</v>
      </c>
      <c r="C14" s="16" t="s">
        <v>35</v>
      </c>
      <c r="D14" s="17">
        <v>0.04</v>
      </c>
      <c r="E14" s="17">
        <v>3</v>
      </c>
      <c r="F14" s="18">
        <f t="shared" si="0"/>
        <v>0.12</v>
      </c>
      <c r="G14" s="11"/>
      <c r="H14" s="11"/>
      <c r="I14" s="11"/>
      <c r="J14" s="12"/>
      <c r="K14" s="11"/>
    </row>
    <row r="15" spans="1:18" ht="15.75" customHeight="1">
      <c r="A15" s="10"/>
      <c r="B15" s="14">
        <v>11</v>
      </c>
      <c r="C15" s="16" t="s">
        <v>34</v>
      </c>
      <c r="D15" s="17">
        <v>0.04</v>
      </c>
      <c r="E15" s="17">
        <v>3</v>
      </c>
      <c r="F15" s="18">
        <f t="shared" si="0"/>
        <v>0.12</v>
      </c>
      <c r="G15" s="11"/>
      <c r="H15" s="11"/>
      <c r="I15" s="11"/>
      <c r="J15" s="12"/>
      <c r="K15" s="11"/>
    </row>
    <row r="16" spans="1:18" ht="15.75" customHeight="1">
      <c r="A16" s="10"/>
      <c r="B16" s="14">
        <v>12</v>
      </c>
      <c r="C16" s="16" t="s">
        <v>36</v>
      </c>
      <c r="D16" s="17">
        <v>0.05</v>
      </c>
      <c r="E16" s="17">
        <v>4</v>
      </c>
      <c r="F16" s="18">
        <f t="shared" si="0"/>
        <v>0.2</v>
      </c>
      <c r="G16" s="11"/>
      <c r="H16" s="11"/>
      <c r="I16" s="11"/>
      <c r="J16" s="12"/>
      <c r="K16" s="11"/>
    </row>
    <row r="17" spans="1:11" ht="15.75" customHeight="1">
      <c r="A17" s="10"/>
      <c r="G17" s="11"/>
      <c r="H17" s="11"/>
      <c r="I17" s="11"/>
      <c r="J17" s="11"/>
      <c r="K17" s="11"/>
    </row>
    <row r="18" spans="1:11" ht="20.25" customHeight="1" thickBot="1">
      <c r="A18" s="10"/>
      <c r="B18" s="74" t="s">
        <v>6</v>
      </c>
      <c r="C18" s="75"/>
      <c r="D18" s="23"/>
      <c r="E18" s="23"/>
      <c r="F18" s="23"/>
      <c r="G18" s="11"/>
      <c r="H18" s="11"/>
      <c r="I18" s="11"/>
      <c r="J18" s="12"/>
      <c r="K18" s="11"/>
    </row>
    <row r="19" spans="1:11" ht="15.75" customHeight="1">
      <c r="A19" s="10"/>
      <c r="B19" s="14">
        <v>1</v>
      </c>
      <c r="C19" s="19" t="s">
        <v>17</v>
      </c>
      <c r="D19" s="39">
        <v>0.05</v>
      </c>
      <c r="E19" s="20">
        <v>1</v>
      </c>
      <c r="F19" s="21">
        <f t="shared" ref="F19:F27" si="1">D19*E19</f>
        <v>0.05</v>
      </c>
      <c r="G19" s="11"/>
      <c r="H19" s="11"/>
      <c r="I19" s="11"/>
      <c r="J19" s="11"/>
      <c r="K19" s="11"/>
    </row>
    <row r="20" spans="1:11" ht="15.75" customHeight="1">
      <c r="A20" s="10"/>
      <c r="B20" s="14">
        <v>2</v>
      </c>
      <c r="C20" s="36" t="s">
        <v>19</v>
      </c>
      <c r="D20" s="40">
        <v>0.05</v>
      </c>
      <c r="E20" s="37">
        <v>2</v>
      </c>
      <c r="F20" s="18">
        <f t="shared" si="1"/>
        <v>0.1</v>
      </c>
      <c r="G20" s="11"/>
      <c r="H20" s="11"/>
      <c r="I20" s="11"/>
      <c r="J20" s="12"/>
      <c r="K20" s="11"/>
    </row>
    <row r="21" spans="1:11" ht="15.75" customHeight="1">
      <c r="A21" s="10"/>
      <c r="B21" s="14">
        <v>3</v>
      </c>
      <c r="C21" s="36" t="s">
        <v>20</v>
      </c>
      <c r="D21" s="40">
        <v>0.04</v>
      </c>
      <c r="E21" s="37">
        <v>2</v>
      </c>
      <c r="F21" s="18">
        <f t="shared" si="1"/>
        <v>0.08</v>
      </c>
      <c r="G21" s="11"/>
      <c r="H21" s="11"/>
      <c r="I21" s="11"/>
      <c r="J21" s="12"/>
      <c r="K21" s="11"/>
    </row>
    <row r="22" spans="1:11" ht="15.75" customHeight="1">
      <c r="A22" s="10"/>
      <c r="B22" s="14">
        <v>4</v>
      </c>
      <c r="C22" s="49" t="s">
        <v>22</v>
      </c>
      <c r="D22" s="40">
        <v>0.04</v>
      </c>
      <c r="E22" s="37">
        <v>2</v>
      </c>
      <c r="F22" s="18">
        <f t="shared" si="1"/>
        <v>0.08</v>
      </c>
      <c r="G22" s="11"/>
      <c r="H22" s="11"/>
      <c r="I22" s="11"/>
      <c r="J22" s="11"/>
      <c r="K22" s="11"/>
    </row>
    <row r="23" spans="1:11" ht="15.75" customHeight="1">
      <c r="A23" s="10"/>
      <c r="B23" s="14">
        <v>5</v>
      </c>
      <c r="C23" s="51" t="s">
        <v>25</v>
      </c>
      <c r="D23" s="48">
        <v>0.04</v>
      </c>
      <c r="E23" s="37">
        <v>2</v>
      </c>
      <c r="F23" s="18">
        <f t="shared" si="1"/>
        <v>0.08</v>
      </c>
      <c r="G23" s="11"/>
      <c r="H23" s="11"/>
      <c r="I23" s="11"/>
      <c r="J23" s="11"/>
      <c r="K23" s="11"/>
    </row>
    <row r="24" spans="1:11" ht="15.75" customHeight="1">
      <c r="A24" s="10"/>
      <c r="B24" s="14">
        <v>6</v>
      </c>
      <c r="C24" s="50" t="s">
        <v>26</v>
      </c>
      <c r="D24" s="40">
        <v>0.04</v>
      </c>
      <c r="E24" s="37">
        <v>1</v>
      </c>
      <c r="F24" s="18">
        <f t="shared" si="1"/>
        <v>0.04</v>
      </c>
      <c r="G24" s="11"/>
      <c r="H24" s="11"/>
      <c r="I24" s="11"/>
      <c r="J24" s="11"/>
      <c r="K24" s="11"/>
    </row>
    <row r="25" spans="1:11" ht="15.75" customHeight="1">
      <c r="A25" s="10"/>
      <c r="B25" s="14">
        <v>7</v>
      </c>
      <c r="C25" s="36" t="s">
        <v>27</v>
      </c>
      <c r="D25" s="40">
        <v>0.04</v>
      </c>
      <c r="E25" s="37">
        <v>1</v>
      </c>
      <c r="F25" s="18">
        <f t="shared" si="1"/>
        <v>0.04</v>
      </c>
      <c r="G25" s="11"/>
      <c r="H25" s="11"/>
      <c r="I25" s="11"/>
      <c r="J25" s="12"/>
      <c r="K25" s="11"/>
    </row>
    <row r="26" spans="1:11" ht="15.75" customHeight="1">
      <c r="A26" s="10"/>
      <c r="B26" s="14">
        <v>8</v>
      </c>
      <c r="C26" s="36" t="s">
        <v>28</v>
      </c>
      <c r="D26" s="40">
        <v>0.03</v>
      </c>
      <c r="E26" s="37">
        <v>1</v>
      </c>
      <c r="F26" s="18">
        <f t="shared" si="1"/>
        <v>0.03</v>
      </c>
      <c r="G26" s="11"/>
      <c r="H26" s="11"/>
      <c r="I26" s="11"/>
      <c r="J26" s="12"/>
      <c r="K26" s="11"/>
    </row>
    <row r="27" spans="1:11" ht="15.75" customHeight="1">
      <c r="A27" s="10"/>
      <c r="B27" s="14">
        <v>9</v>
      </c>
      <c r="C27" s="36" t="s">
        <v>31</v>
      </c>
      <c r="D27" s="40">
        <v>0.03</v>
      </c>
      <c r="E27" s="37">
        <v>1</v>
      </c>
      <c r="F27" s="18">
        <f t="shared" si="1"/>
        <v>0.03</v>
      </c>
      <c r="G27" s="11"/>
      <c r="H27" s="11"/>
      <c r="I27" s="11"/>
      <c r="J27" s="11"/>
      <c r="K27" s="11"/>
    </row>
    <row r="28" spans="1:11" ht="15.75" customHeight="1">
      <c r="A28" s="10"/>
      <c r="B28" s="14">
        <v>10</v>
      </c>
      <c r="C28" s="36" t="s">
        <v>32</v>
      </c>
      <c r="D28" s="41">
        <v>0.02</v>
      </c>
      <c r="E28" s="38">
        <v>1</v>
      </c>
      <c r="F28" s="35">
        <f>D28*E28</f>
        <v>0.02</v>
      </c>
      <c r="G28" s="11"/>
      <c r="H28" s="11"/>
      <c r="I28" s="11"/>
      <c r="J28" s="11"/>
      <c r="K28" s="11"/>
    </row>
    <row r="29" spans="1:11" ht="15.75" customHeight="1">
      <c r="A29" s="10"/>
      <c r="B29" s="14">
        <v>11</v>
      </c>
      <c r="C29" s="36" t="s">
        <v>42</v>
      </c>
      <c r="D29" s="47">
        <v>0.03</v>
      </c>
      <c r="E29" s="45">
        <v>2</v>
      </c>
      <c r="F29" s="46">
        <f>D29*E29</f>
        <v>0.06</v>
      </c>
      <c r="G29" s="11"/>
      <c r="H29" s="11"/>
      <c r="I29" s="11"/>
      <c r="J29" s="11"/>
      <c r="K29" s="11"/>
    </row>
    <row r="30" spans="1:11" ht="21.75" customHeight="1">
      <c r="A30" s="10"/>
      <c r="B30" s="76" t="s">
        <v>43</v>
      </c>
      <c r="C30" s="77"/>
      <c r="D30" s="7">
        <f>SUM(D5:D29)</f>
        <v>1.0000000000000002</v>
      </c>
      <c r="F30" s="44">
        <f>SUM(F5:F29)</f>
        <v>2.7100000000000004</v>
      </c>
      <c r="G30" s="11"/>
      <c r="H30" s="11"/>
      <c r="I30" s="11"/>
      <c r="J30" s="11"/>
      <c r="K30" s="11"/>
    </row>
    <row r="31" spans="1:11" ht="15.75" customHeight="1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11"/>
    </row>
    <row r="32" spans="1:11" ht="15.75" customHeight="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5.75" customHeight="1">
      <c r="A33" s="10"/>
      <c r="B33" s="11"/>
      <c r="C33" s="11"/>
      <c r="D33" s="11"/>
      <c r="E33" s="11"/>
      <c r="F33" s="11"/>
      <c r="G33" s="11"/>
      <c r="H33" s="11"/>
      <c r="I33" s="11"/>
      <c r="J33" s="13"/>
      <c r="K33" s="11"/>
    </row>
    <row r="34" spans="1:11" ht="15.75" customHeight="1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15.7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5.7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15.7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ht="15.75"/>
    <row r="39" spans="1:11" ht="15.75"/>
    <row r="40" spans="1:11" ht="15.75"/>
    <row r="41" spans="1:11" ht="15.75"/>
    <row r="42" spans="1:11" ht="15.75"/>
    <row r="43" spans="1:11" ht="15.75"/>
    <row r="44" spans="1:11" ht="15.75"/>
    <row r="45" spans="1:11" ht="15.75"/>
    <row r="46" spans="1:11" ht="15.75"/>
    <row r="47" spans="1:11" ht="15.75"/>
    <row r="48" spans="1:11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  <row r="346" ht="15.75"/>
    <row r="347" ht="15.75"/>
    <row r="348" ht="15.75"/>
    <row r="349" ht="15.75"/>
    <row r="350" ht="15.75"/>
    <row r="351" ht="15.75"/>
    <row r="352" ht="15.75"/>
    <row r="353" ht="15.75"/>
    <row r="354" ht="15.75"/>
    <row r="355" ht="15.75"/>
    <row r="356" ht="15.75"/>
    <row r="357" ht="15.75"/>
    <row r="358" ht="15.75"/>
    <row r="359" ht="15.75"/>
    <row r="360" ht="15.75"/>
    <row r="361" ht="15.75"/>
    <row r="362" ht="15.75"/>
    <row r="363" ht="15.75"/>
    <row r="364" ht="15.75"/>
    <row r="365" ht="15.75"/>
    <row r="366" ht="15.75"/>
    <row r="367" ht="15.75"/>
    <row r="368" ht="15.75"/>
    <row r="369" ht="15.75"/>
    <row r="370" ht="15.75"/>
    <row r="371" ht="15.75"/>
    <row r="372" ht="15.75"/>
    <row r="373" ht="15.75"/>
    <row r="374" ht="15.75"/>
    <row r="375" ht="15.75"/>
    <row r="376" ht="15.75"/>
    <row r="377" ht="15.75"/>
    <row r="378" ht="15.75"/>
    <row r="379" ht="15.75"/>
    <row r="380" ht="15.75"/>
    <row r="381" ht="15.75"/>
    <row r="382" ht="15.75"/>
    <row r="383" ht="15.75"/>
    <row r="384" ht="15.75"/>
    <row r="385" ht="15.75"/>
    <row r="386" ht="15.75"/>
    <row r="387" ht="15.75"/>
    <row r="388" ht="15.75"/>
    <row r="389" ht="15.75"/>
    <row r="390" ht="15.75"/>
    <row r="391" ht="15.75"/>
    <row r="392" ht="15.75"/>
    <row r="393" ht="15.75"/>
    <row r="394" ht="15.75"/>
    <row r="395" ht="15.75"/>
    <row r="396" ht="15.75"/>
    <row r="397" ht="15.75"/>
    <row r="398" ht="15.75"/>
    <row r="399" ht="15.75"/>
    <row r="400" ht="15.75"/>
    <row r="401" ht="15.75"/>
    <row r="402" ht="15.75"/>
    <row r="403" ht="15.75"/>
    <row r="404" ht="15.75"/>
    <row r="405" ht="15.75"/>
    <row r="406" ht="15.75"/>
    <row r="407" ht="15.75"/>
    <row r="408" ht="15.75"/>
    <row r="409" ht="15.75"/>
    <row r="410" ht="15.75"/>
    <row r="411" ht="15.75"/>
    <row r="412" ht="15.75"/>
    <row r="413" ht="15.75"/>
    <row r="414" ht="15.75"/>
    <row r="415" ht="15.75"/>
    <row r="416" ht="15.75"/>
    <row r="417" ht="15.75"/>
    <row r="418" ht="15.75"/>
    <row r="419" ht="15.75"/>
    <row r="420" ht="15.75"/>
    <row r="421" ht="15.75"/>
    <row r="422" ht="15.75"/>
    <row r="423" ht="15.75"/>
    <row r="424" ht="15.75"/>
    <row r="425" ht="15.75"/>
    <row r="426" ht="15.75"/>
    <row r="427" ht="15.75"/>
    <row r="428" ht="15.75"/>
    <row r="429" ht="15.75"/>
    <row r="430" ht="15.75"/>
    <row r="431" ht="15.75"/>
    <row r="432" ht="15.75"/>
    <row r="433" ht="15.75"/>
    <row r="434" ht="15.75"/>
    <row r="435" ht="15.75"/>
    <row r="436" ht="15.75"/>
    <row r="437" ht="15.75"/>
    <row r="438" ht="15.75"/>
    <row r="439" ht="15.75"/>
    <row r="440" ht="15.75"/>
    <row r="441" ht="15.75"/>
    <row r="442" ht="15.75"/>
    <row r="443" ht="15.75"/>
    <row r="444" ht="15.75"/>
    <row r="445" ht="15.75"/>
    <row r="446" ht="15.75"/>
    <row r="447" ht="15.75"/>
    <row r="448" ht="15.75"/>
    <row r="449" ht="15.75"/>
    <row r="450" ht="15.75"/>
    <row r="451" ht="15.75"/>
    <row r="452" ht="15.75"/>
    <row r="453" ht="15.75"/>
    <row r="454" ht="15.75"/>
    <row r="455" ht="15.75"/>
    <row r="456" ht="15.75"/>
    <row r="457" ht="15.75"/>
    <row r="458" ht="15.75"/>
    <row r="459" ht="15.75"/>
    <row r="460" ht="15.75"/>
    <row r="461" ht="15.75"/>
    <row r="462" ht="15.75"/>
    <row r="463" ht="15.75"/>
    <row r="464" ht="15.75"/>
    <row r="465" ht="15.75"/>
    <row r="466" ht="15.75"/>
    <row r="467" ht="15.75"/>
    <row r="468" ht="15.75"/>
    <row r="469" ht="15.75"/>
    <row r="470" ht="15.75"/>
    <row r="471" ht="15.75"/>
    <row r="472" ht="15.75"/>
    <row r="473" ht="15.75"/>
    <row r="474" ht="15.75"/>
    <row r="475" ht="15.75"/>
    <row r="476" ht="15.75"/>
    <row r="477" ht="15.75"/>
    <row r="478" ht="15.75"/>
    <row r="479" ht="15.75"/>
    <row r="480" ht="15.75"/>
    <row r="481" ht="15.75"/>
    <row r="482" ht="15.75"/>
    <row r="483" ht="15.75"/>
    <row r="484" ht="15.75"/>
    <row r="485" ht="15.75"/>
    <row r="486" ht="15.75"/>
    <row r="487" ht="15.75"/>
    <row r="488" ht="15.75"/>
    <row r="489" ht="15.75"/>
    <row r="490" ht="15.75"/>
    <row r="491" ht="15.75"/>
    <row r="492" ht="15.75"/>
    <row r="493" ht="15.75"/>
    <row r="494" ht="15.75"/>
    <row r="495" ht="15.75"/>
    <row r="496" ht="15.75"/>
    <row r="497" ht="15.75"/>
    <row r="498" ht="15.75"/>
    <row r="499" ht="15.75"/>
    <row r="500" ht="15.75"/>
    <row r="501" ht="15.75"/>
    <row r="502" ht="15.75"/>
    <row r="503" ht="15.75"/>
    <row r="504" ht="15.75"/>
    <row r="505" ht="15.75"/>
    <row r="506" ht="15.75"/>
    <row r="507" ht="15.75"/>
    <row r="508" ht="15.75"/>
    <row r="509" ht="15.75"/>
    <row r="510" ht="15.75"/>
    <row r="511" ht="15.75"/>
    <row r="512" ht="15.75"/>
    <row r="513" ht="15.75"/>
    <row r="514" ht="15.75"/>
    <row r="515" ht="15.75"/>
    <row r="516" ht="15.75"/>
    <row r="517" ht="15.75"/>
    <row r="518" ht="15.75"/>
    <row r="519" ht="15.75"/>
    <row r="520" ht="15.75"/>
    <row r="521" ht="15.75"/>
    <row r="522" ht="15.75"/>
    <row r="523" ht="15.75"/>
    <row r="524" ht="15.75"/>
    <row r="525" ht="15.75"/>
    <row r="526" ht="15.75"/>
    <row r="527" ht="15.75"/>
    <row r="528" ht="15.75"/>
    <row r="529" ht="15.75"/>
    <row r="530" ht="15.75"/>
    <row r="531" ht="15.75"/>
    <row r="532" ht="15.75"/>
    <row r="533" ht="15.75"/>
    <row r="534" ht="15.75"/>
    <row r="535" ht="15.75"/>
    <row r="536" ht="15.75"/>
    <row r="537" ht="15.75"/>
    <row r="538" ht="15.75"/>
    <row r="539" ht="15.75"/>
    <row r="540" ht="15.75"/>
    <row r="541" ht="15.75"/>
    <row r="542" ht="15.75"/>
    <row r="543" ht="15.75"/>
    <row r="544" ht="15.75"/>
    <row r="545" ht="15.75"/>
    <row r="546" ht="15.75"/>
    <row r="547" ht="15.75"/>
    <row r="548" ht="15.75"/>
    <row r="549" ht="15.75"/>
    <row r="550" ht="15.75"/>
    <row r="551" ht="15.75"/>
    <row r="552" ht="15.75"/>
    <row r="553" ht="15.75"/>
    <row r="554" ht="15.75"/>
    <row r="555" ht="15.75"/>
    <row r="556" ht="15.75"/>
    <row r="557" ht="15.75"/>
    <row r="558" ht="15.75"/>
    <row r="559" ht="15.75"/>
    <row r="560" ht="15.75"/>
    <row r="561" ht="15.75"/>
    <row r="562" ht="15.75"/>
    <row r="563" ht="15.75"/>
    <row r="564" ht="15.75"/>
    <row r="565" ht="15.75"/>
    <row r="566" ht="15.75"/>
    <row r="567" ht="15.75"/>
    <row r="568" ht="15.75"/>
    <row r="569" ht="15.75"/>
    <row r="570" ht="15.75"/>
    <row r="571" ht="15.75"/>
    <row r="572" ht="15.75"/>
    <row r="573" ht="15.75"/>
    <row r="574" ht="15.75"/>
    <row r="575" ht="15.75"/>
    <row r="576" ht="15.75"/>
    <row r="577" ht="15.75"/>
    <row r="578" ht="15.75"/>
    <row r="579" ht="15.75"/>
    <row r="580" ht="15.75"/>
    <row r="581" ht="15.75"/>
    <row r="582" ht="15.75"/>
    <row r="583" ht="15.75"/>
    <row r="584" ht="15.75"/>
    <row r="585" ht="15.75"/>
    <row r="586" ht="15.75"/>
    <row r="587" ht="15.75"/>
    <row r="588" ht="15.75"/>
    <row r="589" ht="15.75"/>
    <row r="590" ht="15.75"/>
    <row r="591" ht="15.75"/>
    <row r="592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0" ht="15.75"/>
    <row r="611" ht="15.75"/>
    <row r="612" ht="15.75"/>
    <row r="613" ht="15.75"/>
    <row r="614" ht="15.75"/>
    <row r="615" ht="15.75"/>
    <row r="616" ht="15.75"/>
    <row r="617" ht="15.75"/>
    <row r="618" ht="15.75"/>
    <row r="619" ht="15.75"/>
    <row r="620" ht="15.75"/>
    <row r="621" ht="15.75"/>
    <row r="622" ht="15.75"/>
    <row r="623" ht="15.75"/>
    <row r="624" ht="15.75"/>
    <row r="625" ht="15.75"/>
    <row r="626" ht="15.75"/>
    <row r="627" ht="15.75"/>
    <row r="628" ht="15.75"/>
    <row r="629" ht="15.75"/>
    <row r="630" ht="15.75"/>
    <row r="631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73" ht="15.75"/>
    <row r="674" ht="15.75"/>
    <row r="675" ht="15.75"/>
    <row r="676" ht="15.75"/>
    <row r="677" ht="15.75"/>
    <row r="678" ht="15.75"/>
    <row r="679" ht="15.75"/>
    <row r="680" ht="15.75"/>
    <row r="681" ht="15.75"/>
    <row r="682" ht="15.75"/>
    <row r="683" ht="15.75"/>
    <row r="684" ht="15.75"/>
    <row r="685" ht="15.75"/>
    <row r="686" ht="15.75"/>
    <row r="687" ht="15.75"/>
    <row r="688" ht="15.75"/>
    <row r="689" ht="15.75"/>
    <row r="690" ht="15.75"/>
    <row r="691" ht="15.75"/>
    <row r="692" ht="15.75"/>
    <row r="693" ht="15.75"/>
    <row r="694" ht="15.75"/>
    <row r="695" ht="15.75"/>
    <row r="696" ht="15.75"/>
    <row r="697" ht="15.75"/>
    <row r="698" ht="15.75"/>
    <row r="699" ht="15.75"/>
    <row r="700" ht="15.75"/>
    <row r="701" ht="15.75"/>
    <row r="702" ht="15.75"/>
    <row r="703" ht="15.75"/>
    <row r="704" ht="15.75"/>
    <row r="705" ht="15.75"/>
    <row r="706" ht="15.75"/>
    <row r="707" ht="15.75"/>
    <row r="708" ht="15.75"/>
    <row r="709" ht="15.75"/>
    <row r="710" ht="15.75"/>
    <row r="711" ht="15.75"/>
    <row r="712" ht="15.75"/>
    <row r="713" ht="15.75"/>
    <row r="714" ht="15.75"/>
    <row r="715" ht="15.75"/>
    <row r="716" ht="15.75"/>
    <row r="717" ht="15.75"/>
    <row r="718" ht="15.75"/>
    <row r="719" ht="15.75"/>
    <row r="720" ht="15.75"/>
    <row r="721" ht="15.75"/>
    <row r="722" ht="15.75"/>
    <row r="723" ht="15.75"/>
    <row r="724" ht="15.75"/>
    <row r="725" ht="15.75"/>
    <row r="726" ht="15.75"/>
    <row r="727" ht="15.75"/>
    <row r="728" ht="15.75"/>
    <row r="729" ht="15.75"/>
    <row r="730" ht="15.75"/>
    <row r="731" ht="15.75"/>
    <row r="732" ht="15.75"/>
    <row r="733" ht="15.75"/>
    <row r="734" ht="15.75"/>
    <row r="735" ht="15.75"/>
    <row r="736" ht="15.75"/>
    <row r="737" ht="15.75"/>
    <row r="738" ht="15.75"/>
    <row r="739" ht="15.75"/>
    <row r="740" ht="15.75"/>
    <row r="741" ht="15.75"/>
    <row r="742" ht="15.75"/>
    <row r="743" ht="15.75"/>
    <row r="744" ht="15.75"/>
    <row r="745" ht="15.75"/>
    <row r="746" ht="15.75"/>
    <row r="747" ht="15.75"/>
    <row r="748" ht="15.75"/>
    <row r="749" ht="15.75"/>
    <row r="750" ht="15.75"/>
    <row r="751" ht="15.75"/>
    <row r="752" ht="15.75"/>
    <row r="753" ht="15.75"/>
    <row r="754" ht="15.75"/>
    <row r="755" ht="15.75"/>
    <row r="756" ht="15.75"/>
    <row r="757" ht="15.75"/>
    <row r="758" ht="15.75"/>
    <row r="759" ht="15.75"/>
    <row r="760" ht="15.75"/>
    <row r="761" ht="15.75"/>
    <row r="762" ht="15.75"/>
    <row r="763" ht="15.75"/>
    <row r="764" ht="15.75"/>
    <row r="765" ht="15.75"/>
    <row r="766" ht="15.75"/>
    <row r="767" ht="15.75"/>
    <row r="768" ht="15.75"/>
    <row r="769" ht="15.75"/>
    <row r="770" ht="15.75"/>
    <row r="771" ht="15.75"/>
    <row r="772" ht="15.75"/>
    <row r="773" ht="15.75"/>
    <row r="774" ht="15.75"/>
    <row r="775" ht="15.75"/>
    <row r="776" ht="15.75"/>
    <row r="777" ht="15.75"/>
    <row r="778" ht="15.75"/>
    <row r="779" ht="15.75"/>
    <row r="780" ht="15.75"/>
    <row r="781" ht="15.75"/>
    <row r="782" ht="15.75"/>
    <row r="783" ht="15.75"/>
    <row r="784" ht="15.75"/>
    <row r="785" ht="15.75"/>
    <row r="786" ht="15.75"/>
    <row r="787" ht="15.75"/>
    <row r="788" ht="15.75"/>
    <row r="789" ht="15.75"/>
    <row r="790" ht="15.75"/>
    <row r="791" ht="15.75"/>
    <row r="792" ht="15.75"/>
    <row r="793" ht="15.75"/>
    <row r="794" ht="15.75"/>
    <row r="795" ht="15.75"/>
    <row r="796" ht="15.75"/>
    <row r="797" ht="15.75"/>
    <row r="798" ht="15.75"/>
    <row r="799" ht="15.75"/>
    <row r="800" ht="15.75"/>
    <row r="801" ht="15.75"/>
    <row r="802" ht="15.75"/>
    <row r="803" ht="15.75"/>
    <row r="804" ht="15.75"/>
    <row r="805" ht="15.75"/>
    <row r="806" ht="15.75"/>
    <row r="807" ht="15.75"/>
    <row r="808" ht="15.75"/>
    <row r="809" ht="15.75"/>
    <row r="810" ht="15.75"/>
    <row r="811" ht="15.75"/>
    <row r="812" ht="15.75"/>
    <row r="813" ht="15.75"/>
    <row r="814" ht="15.75"/>
    <row r="815" ht="15.75"/>
    <row r="816" ht="15.75"/>
    <row r="817" ht="15.75"/>
    <row r="818" ht="15.75"/>
    <row r="819" ht="15.75"/>
    <row r="820" ht="15.75"/>
    <row r="821" ht="15.75"/>
    <row r="822" ht="15.75"/>
    <row r="823" ht="15.75"/>
    <row r="824" ht="15.75"/>
    <row r="825" ht="15.75"/>
    <row r="826" ht="15.75"/>
    <row r="827" ht="15.75"/>
    <row r="828" ht="15.75"/>
    <row r="829" ht="15.75"/>
    <row r="830" ht="15.75"/>
    <row r="831" ht="15.75"/>
    <row r="832" ht="15.75"/>
    <row r="833" ht="15.75"/>
    <row r="834" ht="15.75"/>
    <row r="835" ht="15.75"/>
    <row r="836" ht="15.75"/>
    <row r="837" ht="15.75"/>
    <row r="838" ht="15.75"/>
    <row r="839" ht="15.75"/>
    <row r="840" ht="15.75"/>
    <row r="841" ht="15.75"/>
    <row r="842" ht="15.75"/>
    <row r="843" ht="15.75"/>
    <row r="844" ht="15.75"/>
    <row r="845" ht="15.75"/>
    <row r="846" ht="15.75"/>
    <row r="847" ht="15.75"/>
    <row r="848" ht="15.75"/>
    <row r="849" ht="15.75"/>
    <row r="850" ht="15.75"/>
    <row r="851" ht="15.75"/>
    <row r="852" ht="15.75"/>
    <row r="853" ht="15.75"/>
    <row r="854" ht="15.75"/>
    <row r="855" ht="15.75"/>
    <row r="856" ht="15.75"/>
    <row r="857" ht="15.75"/>
    <row r="858" ht="15.75"/>
    <row r="859" ht="15.75"/>
    <row r="860" ht="15.75"/>
    <row r="861" ht="15.75"/>
    <row r="862" ht="15.75"/>
    <row r="863" ht="15.75"/>
    <row r="864" ht="15.75"/>
    <row r="865" ht="15.75"/>
    <row r="866" ht="15.75"/>
    <row r="867" ht="15.75"/>
    <row r="868" ht="15.75"/>
    <row r="869" ht="15.75"/>
    <row r="870" ht="15.75"/>
    <row r="871" ht="15.75"/>
    <row r="872" ht="15.75"/>
    <row r="873" ht="15.75"/>
    <row r="874" ht="15.75"/>
    <row r="875" ht="15.75"/>
    <row r="876" ht="15.75"/>
    <row r="877" ht="15.75"/>
    <row r="878" ht="15.75"/>
    <row r="879" ht="15.75"/>
    <row r="880" ht="15.75"/>
    <row r="881" ht="15.75"/>
    <row r="882" ht="15.75"/>
    <row r="883" ht="15.75"/>
    <row r="884" ht="15.75"/>
    <row r="885" ht="15.75"/>
    <row r="886" ht="15.75"/>
    <row r="887" ht="15.75"/>
    <row r="888" ht="15.75"/>
    <row r="889" ht="15.75"/>
    <row r="890" ht="15.75"/>
    <row r="891" ht="15.75"/>
    <row r="892" ht="15.75"/>
    <row r="893" ht="15.75"/>
    <row r="894" ht="15.75"/>
    <row r="895" ht="15.75"/>
    <row r="896" ht="15.75"/>
    <row r="897" ht="15.75"/>
    <row r="898" ht="15.75"/>
    <row r="899" ht="15.75"/>
    <row r="900" ht="15.75"/>
    <row r="901" ht="15.75"/>
    <row r="902" ht="15.75"/>
    <row r="903" ht="15.75"/>
    <row r="904" ht="15.75"/>
    <row r="905" ht="15.75"/>
    <row r="906" ht="15.75"/>
    <row r="907" ht="15.75"/>
    <row r="908" ht="15.75"/>
    <row r="909" ht="15.75"/>
    <row r="910" ht="15.75"/>
    <row r="911" ht="15.75"/>
    <row r="912" ht="15.75"/>
    <row r="913" ht="15.75"/>
    <row r="914" ht="15.75"/>
    <row r="915" ht="15.75"/>
    <row r="916" ht="15.75"/>
    <row r="917" ht="15.75"/>
    <row r="918" ht="15.75"/>
    <row r="919" ht="15.75"/>
    <row r="920" ht="15.75"/>
    <row r="921" ht="15.75"/>
    <row r="922" ht="15.75"/>
    <row r="923" ht="15.75"/>
    <row r="924" ht="15.75"/>
    <row r="925" ht="15.75"/>
    <row r="926" ht="15.75"/>
    <row r="927" ht="15.75"/>
    <row r="928" ht="15.75"/>
    <row r="929" ht="15.75"/>
    <row r="930" ht="15.75"/>
    <row r="931" ht="15.75"/>
    <row r="932" ht="15.75"/>
    <row r="933" ht="15.75"/>
    <row r="934" ht="15.75"/>
    <row r="935" ht="15.75"/>
    <row r="936" ht="15.75"/>
    <row r="937" ht="15.75"/>
    <row r="938" ht="15.75"/>
    <row r="939" ht="15.75"/>
    <row r="940" ht="15.75"/>
    <row r="941" ht="15.75"/>
    <row r="942" ht="15.75"/>
    <row r="943" ht="15.75"/>
    <row r="944" ht="15.75"/>
    <row r="945" ht="15.75"/>
    <row r="946" ht="15.75"/>
    <row r="947" ht="15.75"/>
    <row r="948" ht="15.75"/>
    <row r="949" ht="15.75"/>
    <row r="950" ht="15.75"/>
    <row r="951" ht="15.75"/>
    <row r="952" ht="15.75"/>
    <row r="953" ht="15.75"/>
    <row r="954" ht="15.75"/>
    <row r="955" ht="15.75"/>
    <row r="956" ht="15.75"/>
    <row r="957" ht="15.75"/>
    <row r="958" ht="15.75"/>
    <row r="959" ht="15.75"/>
    <row r="960" ht="15.75"/>
    <row r="961" ht="15.75"/>
    <row r="962" ht="15.75"/>
    <row r="963" ht="15.75"/>
    <row r="964" ht="15.75"/>
    <row r="965" ht="15.75"/>
    <row r="966" ht="15.75"/>
    <row r="967" ht="15.75"/>
    <row r="968" ht="15.75"/>
    <row r="969" ht="15.75"/>
    <row r="970" ht="15.75"/>
    <row r="971" ht="15.75"/>
    <row r="972" ht="15.75"/>
    <row r="973" ht="15.75"/>
    <row r="974" ht="15.75"/>
    <row r="975" ht="15.75"/>
    <row r="976" ht="15.75"/>
    <row r="977" ht="15.75"/>
    <row r="978" ht="15.75"/>
    <row r="979" ht="15.75"/>
    <row r="980" ht="15.75"/>
    <row r="981" ht="15.75"/>
    <row r="982" ht="15.75"/>
    <row r="983" ht="15.75"/>
    <row r="984" ht="15.75"/>
    <row r="985" ht="15.75"/>
    <row r="986" ht="15.75"/>
    <row r="987" ht="15.75"/>
    <row r="988" ht="15.75"/>
    <row r="989" ht="15.75"/>
    <row r="990" ht="15.75"/>
    <row r="991" ht="15.75"/>
    <row r="992" ht="15.75"/>
    <row r="993" ht="15.75"/>
    <row r="994" ht="15.75"/>
    <row r="995" ht="15.75"/>
    <row r="996" ht="15.75"/>
    <row r="997" ht="15.75"/>
    <row r="998" ht="15.75"/>
    <row r="999" ht="15.75"/>
    <row r="1000" ht="15.75"/>
    <row r="1001" ht="15.75"/>
    <row r="1002" ht="15.75"/>
    <row r="1003" ht="15.75"/>
    <row r="1004" ht="15.75"/>
    <row r="1005" ht="15.75"/>
    <row r="1006" ht="15.75"/>
    <row r="1007" ht="15.75"/>
    <row r="1008" ht="15.75"/>
  </sheetData>
  <mergeCells count="6">
    <mergeCell ref="B3:C3"/>
    <mergeCell ref="B4:C4"/>
    <mergeCell ref="B18:C18"/>
    <mergeCell ref="B30:C30"/>
    <mergeCell ref="B1:F1"/>
    <mergeCell ref="B2:C2"/>
  </mergeCells>
  <pageMargins left="0.7" right="0.7" top="0.75" bottom="0.75" header="0.3" footer="0.3"/>
  <pageSetup scale="93" orientation="landscape" r:id="rId1"/>
  <rowBreaks count="1" manualBreakCount="1">
    <brk id="30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Entorno interno</vt:lpstr>
      <vt:lpstr>Matriz EFI</vt:lpstr>
      <vt:lpstr>'Entorno interno'!Área_de_impresión</vt:lpstr>
      <vt:lpstr>'Matriz EFI'!Área_de_impresión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Nehemias Saboya Rios</dc:creator>
  <cp:keywords/>
  <dc:description/>
  <cp:lastModifiedBy>Harry Kenel</cp:lastModifiedBy>
  <cp:revision/>
  <cp:lastPrinted>2025-11-26T07:40:41Z</cp:lastPrinted>
  <dcterms:created xsi:type="dcterms:W3CDTF">2017-09-04T21:40:53Z</dcterms:created>
  <dcterms:modified xsi:type="dcterms:W3CDTF">2025-11-26T07:47:45Z</dcterms:modified>
  <cp:category/>
  <cp:contentStatus/>
</cp:coreProperties>
</file>