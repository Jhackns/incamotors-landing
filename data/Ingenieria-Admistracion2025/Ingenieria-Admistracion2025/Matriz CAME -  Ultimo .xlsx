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C:\Users\ALEXW\Downloads\"/>
    </mc:Choice>
  </mc:AlternateContent>
  <xr:revisionPtr revIDLastSave="5" documentId="8_{6B302C5E-9599-4B76-A161-740A4D751AE3}" xr6:coauthVersionLast="47" xr6:coauthVersionMax="47" xr10:uidLastSave="{2447B577-F6D4-40F6-94E5-344D72ADB59E}"/>
  <bookViews>
    <workbookView xWindow="-108" yWindow="-108" windowWidth="23256" windowHeight="12456" tabRatio="828" firstSheet="5" activeTab="1" xr2:uid="{E6862F82-7EE6-404F-BFB1-ECC7C87EA452}"/>
  </bookViews>
  <sheets>
    <sheet name="FODA" sheetId="8" r:id="rId1"/>
    <sheet name="CAME" sheetId="6" r:id="rId2"/>
    <sheet name="ESTRATEGIAS FO" sheetId="1" r:id="rId3"/>
    <sheet name="ESTRATEGIAS FA" sheetId="2" r:id="rId4"/>
    <sheet name="ESTRATEGIAS DO" sheetId="4" r:id="rId5"/>
    <sheet name="ESTRATEGIAS DA" sheetId="3" r:id="rId6"/>
    <sheet name="FODA - CAME" sheetId="7" r:id="rId7"/>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6" l="1"/>
  <c r="G24" i="6"/>
  <c r="G15" i="6"/>
  <c r="G11" i="6"/>
  <c r="E6" i="6"/>
  <c r="G17" i="6" l="1"/>
  <c r="G18" i="6"/>
  <c r="G19" i="6"/>
  <c r="G20" i="6"/>
  <c r="G21" i="6"/>
  <c r="G22" i="6"/>
  <c r="G23" i="6"/>
  <c r="G25" i="6"/>
  <c r="G16" i="6"/>
  <c r="G7" i="6"/>
  <c r="G8" i="6"/>
  <c r="G9" i="6"/>
  <c r="G10" i="6"/>
  <c r="G12" i="6"/>
  <c r="G14" i="6"/>
  <c r="G6" i="6"/>
  <c r="E17" i="6"/>
  <c r="E18" i="6"/>
  <c r="E19" i="6"/>
  <c r="E20" i="6"/>
  <c r="E21" i="6"/>
  <c r="E22" i="6"/>
  <c r="E23" i="6"/>
  <c r="E24" i="6"/>
  <c r="E25" i="6"/>
  <c r="E16" i="6"/>
  <c r="E7" i="6"/>
  <c r="E8" i="6"/>
  <c r="E9" i="6"/>
  <c r="E10" i="6"/>
  <c r="E11" i="6"/>
  <c r="E12" i="6"/>
  <c r="E13" i="6"/>
  <c r="E14" i="6"/>
  <c r="E15" i="6"/>
</calcChain>
</file>

<file path=xl/sharedStrings.xml><?xml version="1.0" encoding="utf-8"?>
<sst xmlns="http://schemas.openxmlformats.org/spreadsheetml/2006/main" count="452" uniqueCount="202">
  <si>
    <t>FORTALEZAS</t>
  </si>
  <si>
    <t>DEBILIDADES</t>
  </si>
  <si>
    <t>F1</t>
  </si>
  <si>
    <t>Experiencia consolidada en el rubro automotriz nacional.</t>
  </si>
  <si>
    <t>D1</t>
  </si>
  <si>
    <t>Alta dependencia de vehículos importados (vulnerable al tipo de cambio).</t>
  </si>
  <si>
    <t>F2</t>
  </si>
  <si>
    <t>Alianzas estratégicas con marcas internacionales.</t>
  </si>
  <si>
    <t>D2</t>
  </si>
  <si>
    <t>Limitada oferta de vehículos eléctricos o híbridos.</t>
  </si>
  <si>
    <t>F3</t>
  </si>
  <si>
    <t>Personal técnico certificado y capacitado</t>
  </si>
  <si>
    <t>D3</t>
  </si>
  <si>
    <t>Procesos administrativos poco automatizados.</t>
  </si>
  <si>
    <t>F4</t>
  </si>
  <si>
    <t>Implementación de sistemas digitales de ventas y CRM.</t>
  </si>
  <si>
    <t>D4</t>
  </si>
  <si>
    <t>Falta de diversificación en líneas de negocio.</t>
  </si>
  <si>
    <t>F5</t>
  </si>
  <si>
    <t>Buen posicionamiento de marca y reputación comercial.</t>
  </si>
  <si>
    <t>D5</t>
  </si>
  <si>
    <t>Escasa presencia en regiones fuera de Lima.</t>
  </si>
  <si>
    <t>F6</t>
  </si>
  <si>
    <t>Políticas de servicio postventa y atención al cliente.</t>
  </si>
  <si>
    <t>D6</t>
  </si>
  <si>
    <t>Dependencia de proveedores extranjeros.</t>
  </si>
  <si>
    <t>F7</t>
  </si>
  <si>
    <t>Capacidad de adaptación a regulaciones ambientales.</t>
  </si>
  <si>
    <t>D7</t>
  </si>
  <si>
    <t>Baja inversión en innovación tecnológica.</t>
  </si>
  <si>
    <t>F8</t>
  </si>
  <si>
    <t>Eficiencia en los procesos logísticos de importación y distribución.</t>
  </si>
  <si>
    <t>D8</t>
  </si>
  <si>
    <t>Falta de alianzas financieras para crédito vehicular.</t>
  </si>
  <si>
    <t>F9</t>
  </si>
  <si>
    <t>Sistema contable y de control interno automatizado.</t>
  </si>
  <si>
    <t>D9</t>
  </si>
  <si>
    <t>Ausencia de un sistema robusto de evaluación del desempeño.</t>
  </si>
  <si>
    <t>F10</t>
  </si>
  <si>
    <t>Implementación de prácticas de sostenibilidad (reciclaje, emisiones).</t>
  </si>
  <si>
    <t>D10</t>
  </si>
  <si>
    <t>Baja participación en licitaciones del sector público o corporativo.</t>
  </si>
  <si>
    <t>F11</t>
  </si>
  <si>
    <t>Posicionamiento en segmentos de gama media y alta.</t>
  </si>
  <si>
    <t>D11</t>
  </si>
  <si>
    <t>Poca innovación en estrategias de ventas personalizadas</t>
  </si>
  <si>
    <t>F12</t>
  </si>
  <si>
    <t>Alta satisfacción del cliente según encuestas internas.</t>
  </si>
  <si>
    <t>D12</t>
  </si>
  <si>
    <t>OPORTUNIDADES</t>
  </si>
  <si>
    <t>AMENAZAS</t>
  </si>
  <si>
    <t>O1</t>
  </si>
  <si>
    <t>Crecimiento de canales digitales y redes sociales para mejorar experiencia de compra</t>
  </si>
  <si>
    <t>A1</t>
  </si>
  <si>
    <t>Volatilidad del tipo de cambio que encarece la importación de vehículos</t>
  </si>
  <si>
    <t>O2</t>
  </si>
  <si>
    <t>Normas de Indecopi (garantía, postventa) que aumentan confianza del cliente</t>
  </si>
  <si>
    <t>A2</t>
  </si>
  <si>
    <t>Ingreso de fabricantes globales (Toyota, Honda, Nissan) que abren canales directos de distribución eliminando intermediarios</t>
  </si>
  <si>
    <t>O3</t>
  </si>
  <si>
    <t>Creciente demanda del consumidor por conectividad vehicular y control de vehículo vía aplicaciones móviles</t>
  </si>
  <si>
    <t>A3</t>
  </si>
  <si>
    <t>Cambios frecuentes en legislación laboral y tributaria (AFP, EPS) que incrementan costos operacionales</t>
  </si>
  <si>
    <t>O4</t>
  </si>
  <si>
    <t>Altas inversiones requeridas en infraestructura como barrera de entrada para nuevos competidores</t>
  </si>
  <si>
    <t>A4</t>
  </si>
  <si>
    <t>Normativas del MTC que obligan incorporación de tecnologías de seguridad (ABS, airbag, control estabilidad)</t>
  </si>
  <si>
    <t>O5</t>
  </si>
  <si>
    <t>Creación del Fondo de Promoción de Electromovilidad (FONCOER) y financiamiento verde</t>
  </si>
  <si>
    <t>A5</t>
  </si>
  <si>
    <t>Tasas de interés (TEA) elevadas que limitan el acceso al crédito vehicular</t>
  </si>
  <si>
    <t>O6</t>
  </si>
  <si>
    <t>Mayor interés del público joven en movilidad personal (motos, autos)</t>
  </si>
  <si>
    <t>A6</t>
  </si>
  <si>
    <t>Competencia con marcas globales de alto prestigio y gran poder de negociación</t>
  </si>
  <si>
    <t>O7</t>
  </si>
  <si>
    <t>Mayor conciencia ambiental entre segmentos ABC que impulsa preferencia por vehículos híbridos y eléctricos</t>
  </si>
  <si>
    <t>A7</t>
  </si>
  <si>
    <t>Ausencia de infraestructura de carga pública para vehículos eléctricos en Perú (Lima: 80%, interior: 20%)</t>
  </si>
  <si>
    <t>O8</t>
  </si>
  <si>
    <t>Mayor demanda por vehículos utilitarios (SUV y camionetas) por seguridad y versatilidad</t>
  </si>
  <si>
    <t>A8</t>
  </si>
  <si>
    <t>Regulaciones ambientales más estrictas sobre emisiones vehiculares (ej. Euro VI+)</t>
  </si>
  <si>
    <t>O9</t>
  </si>
  <si>
    <t>Tendencia de concentración y consolidación entre grupos concesionarios que facilita alianzas estratégicas</t>
  </si>
  <si>
    <t>A9</t>
  </si>
  <si>
    <t>O10</t>
  </si>
  <si>
    <t>Disponibilidad en mercado de herramientas de IA para el sector automotriz</t>
  </si>
  <si>
    <t>A10</t>
  </si>
  <si>
    <t>CASO DE ESTUDIO: INCAMOTORS S.A.C.
Análisis del CAME</t>
  </si>
  <si>
    <t>RESULTADOS (CORREGIR - AFRONTAR - MANTENER - EXPLORAR)</t>
  </si>
  <si>
    <t>ANÁLISIS EXTERNO</t>
  </si>
  <si>
    <t>ANALISIS INTERNO</t>
  </si>
  <si>
    <t>E1</t>
  </si>
  <si>
    <t>E2</t>
  </si>
  <si>
    <t>E3</t>
  </si>
  <si>
    <t>E4</t>
  </si>
  <si>
    <t>E5</t>
  </si>
  <si>
    <t>E6</t>
  </si>
  <si>
    <t>E7</t>
  </si>
  <si>
    <t>E8</t>
  </si>
  <si>
    <t>E9</t>
  </si>
  <si>
    <t>E10</t>
  </si>
  <si>
    <t>CASO DE ESTUDIO: UNIVERSIDAD PERUANA UNIÓN
Análisis del CAME</t>
  </si>
  <si>
    <t>FORTALEZAS - OPORTUNIDADES</t>
  </si>
  <si>
    <t>COD</t>
  </si>
  <si>
    <t>ESTRATEGIAS OFENSIVA</t>
  </si>
  <si>
    <t>F4 + O1</t>
  </si>
  <si>
    <t>Potenciar el CRM y la plataforma digital para captar clientes vía redes sociales y automatizar cotizaciones y seguimiento.</t>
  </si>
  <si>
    <t>F5 + O6</t>
  </si>
  <si>
    <t>Lanzar una línea que tenga motos y autos compactos siendo respaldada por la fortaleza de marca para atraer al segmento joven.</t>
  </si>
  <si>
    <t>F2 + O5</t>
  </si>
  <si>
    <t>Introducir modelos híbridos/eléctricos mediante acuerdos internacionales y financiamiento verde para liderar la electromovilidad.</t>
  </si>
  <si>
    <t>F8 + O8</t>
  </si>
  <si>
    <t>Garantizar disponibilidad inmediata de SUVs/camionetas mediante logística optimizada, superando tiempos de entrega de la competencia.</t>
  </si>
  <si>
    <t>F6 + O2</t>
  </si>
  <si>
    <t>Fortalecer y estandarizar la postventa para cumplir y superar Indecopi, elevando la confianza y fidelización del cliente.</t>
  </si>
  <si>
    <t>F10 + O7</t>
  </si>
  <si>
    <t>Crear una linea que  impulse vehículos híbridos/eléctricos, alineados a la preferencia ambiental de segmentos premium.</t>
  </si>
  <si>
    <t>F3 + O3</t>
  </si>
  <si>
    <t>Ofrecer servicios avanzados de conectividad (telemetría, apps, diagnósticos remotos) gracias al personal técnico especializado.</t>
  </si>
  <si>
    <t>F1 + O9</t>
  </si>
  <si>
    <t>Formar la red “Incamotors Network” integrando concesionarios medianos mediante experiencia operativa y procesos consolidados.</t>
  </si>
  <si>
    <t>F12 + O10</t>
  </si>
  <si>
    <t>Implementar IA para personalizar ofertas y mejorar la experiencia del cliente basándose en el historial de satisfacción.</t>
  </si>
  <si>
    <t>F11 + O8</t>
  </si>
  <si>
    <t>Impulsar un portafolio premium de SUVs dirigido a segmentos de mayor valor alineado a la tendencia utilitaria.</t>
  </si>
  <si>
    <t>O11</t>
  </si>
  <si>
    <t>O12</t>
  </si>
  <si>
    <t>FORTALEZAS - AMENAZAS</t>
  </si>
  <si>
    <t>ESTRATEGIAS DEFENSIVA</t>
  </si>
  <si>
    <t>F8 + A1</t>
  </si>
  <si>
    <t>Reforzar la consolidación de importaciones y la planificación de compras para reducir el impacto del tipo de cambio sobre el costo del vehículo.</t>
  </si>
  <si>
    <t>F2 + A2</t>
  </si>
  <si>
    <t>Negociar acuerdos exclusivos y programas de fidelización con marcas aliadas para evitar ser desplazados por canales directos.</t>
  </si>
  <si>
    <t>F3 + A3</t>
  </si>
  <si>
    <t>Optimizar productividad técnica mediante especialización y digitalización de procesos para compensar los mayores costos laborales.</t>
  </si>
  <si>
    <t>F4 + A4</t>
  </si>
  <si>
    <t>Integrar módulos digitales de seguimiento técnico para asegurar cumplimiento y actualización de tecnologías obligatorias.</t>
  </si>
  <si>
    <t>F7 + A8</t>
  </si>
  <si>
    <t>Fortalecer procesos de reducción de emisiones y trazabilidad ambiental para minimizar multas y adelantarse a regulaciones.</t>
  </si>
  <si>
    <t>F11 + A6</t>
  </si>
  <si>
    <t>Diferenciar el portafolio con paquetes de valor, servicio boutique y garantías premium para competir frente a marcas de mayor prestigio.</t>
  </si>
  <si>
    <t xml:space="preserve">Ausencia de infraestructura de carga pública para vehículos eléctricos en Perú </t>
  </si>
  <si>
    <t>F6 + A5</t>
  </si>
  <si>
    <t>Incentivar la compra mediante beneficios postventa (mantenimientos incluidos, garantías extendidas) para compensar la barrera del crédito.</t>
  </si>
  <si>
    <t>Regulaciones ambientales más estrictas sobre emisiones vehiculares</t>
  </si>
  <si>
    <t>E11</t>
  </si>
  <si>
    <t>E12</t>
  </si>
  <si>
    <t>DEBILIDADES - OPORTUNIDADES</t>
  </si>
  <si>
    <t>ESTRATEGIAS ADAPTATIVAS</t>
  </si>
  <si>
    <t>D3 + O1</t>
  </si>
  <si>
    <t>Digitalizar y automatizar procesos administrativos y comerciales integrando CRM, ventas online y atención digital.</t>
  </si>
  <si>
    <t>D11 + O10</t>
  </si>
  <si>
    <t>Implementar IA para personalizar ofertas, recomendar modelos y automatizar propuestas comerciales.</t>
  </si>
  <si>
    <t>D2 + O5</t>
  </si>
  <si>
    <t>Expandir portafolio eco mediante alianzas estratégicas y uso del FONCOER para ingresar al mercado eléctrico.</t>
  </si>
  <si>
    <t>D1 + O9</t>
  </si>
  <si>
    <t>Integrarse a redes de concesionarios para compras conjuntas, economías de escala y reducción del riesgo cambiario.</t>
  </si>
  <si>
    <t>D8 + O6</t>
  </si>
  <si>
    <t>Establecer convenios con financieras/fintech para ofrecer créditos accesibles a jóvenes (autos compactos, motos).</t>
  </si>
  <si>
    <t>D5 + O8</t>
  </si>
  <si>
    <t>Expandirse a regiones estratégicas con showrooms móviles y alianzas locales para captar demanda creciente.</t>
  </si>
  <si>
    <t>D7 + O3</t>
  </si>
  <si>
    <t>Invertir en soluciones de conectividad y servicios digitales asociados a vehículos conectados.</t>
  </si>
  <si>
    <t>D10 + O4</t>
  </si>
  <si>
    <t>Ingresar al mercado corporativo/estatal aprovechando que los altos requisitos excluyen a nuevos competidores.</t>
  </si>
  <si>
    <t>E13</t>
  </si>
  <si>
    <t>DEBILIDADES - AMENAZAS</t>
  </si>
  <si>
    <t>ESTRATEGIAS DE SUPERVIVENCIA</t>
  </si>
  <si>
    <t>D1 + A1</t>
  </si>
  <si>
    <t>Diversificar proveedores y asegurar compras programadas o contratos forward para reducir el impacto del tipo de cambio.</t>
  </si>
  <si>
    <t>D6 + A2</t>
  </si>
  <si>
    <t>Negociar contratos de abastecimiento más estables y asegurar acuerdos mínimos para evitar ser desplazados por distribuidores directos.</t>
  </si>
  <si>
    <t>D3 + A3</t>
  </si>
  <si>
    <t>Implementar automatización básica (contable y RR.HH.) para evitar sanciones y sobrecostos por errores manuales.</t>
  </si>
  <si>
    <t>D7 + A4</t>
  </si>
  <si>
    <t>Asignar inversión mínima obligatoria para cumplir con tecnología reglamentaria (ABS, airbag), evitando multas y paralización de ventas.</t>
  </si>
  <si>
    <t>D8 + A5</t>
  </si>
  <si>
    <t>Establecer convenios urgentes con financieras/fintech para evitar caída drástica en ventas por falta de acceso al crédito vehicular.</t>
  </si>
  <si>
    <t>D2 + A7</t>
  </si>
  <si>
    <t>Ajustar el portafolio eléctrico a modelos híbridos o mild-hybrid que no dependan de cargadores públicos para no perder competitividad.</t>
  </si>
  <si>
    <t>D9 + A6</t>
  </si>
  <si>
    <t>Implementar un sistema básico de evaluación de desempeño para alinear servicio, tiempos y calidad frente a competidores globales.</t>
  </si>
  <si>
    <t xml:space="preserve">Regulaciones ambientales más estrictas sobre emisiones vehiculares </t>
  </si>
  <si>
    <t>Fortaleza</t>
  </si>
  <si>
    <t>Debilidades</t>
  </si>
  <si>
    <t>FODA</t>
  </si>
  <si>
    <t>F1	Alta dependencia de vehículos importados (vulnerable al tipo de cambio).
F2	Limitada oferta de vehículos eléctricos o híbridos.
F3	Procesos administrativos poco automatizados.
F4	Falta de diversificación en líneas de negocio.
F5	Escasa presencia en regiones fuera de Lima.
F6	Dependencia de proveedores extranjeros.
F7	Baja inversión en innovación tecnológica.
F8	Falta de alianzas financieras para crédito vehicular.
F9	Ausencia de un sistema robusto de evaluación del desempeño.
F10	Baja participación en licitaciones del sector público o corporativo.
F11	Poca innovación en estrategias de ventas personalizadas</t>
  </si>
  <si>
    <t xml:space="preserve">D1	Alta dependencia de vehículos importados (vulnerable al tipo de cambio).
D2	Limitada oferta de vehículos eléctricos o híbridos.
D3	Procesos administrativos poco automatizados.
D4	Falta de diversificación en líneas de negocio.
D5	Escasa presencia en regiones fuera de Lima.
D6	Dependencia de proveedores extranjeros.
D7	Baja inversión en innovación tecnológica.
D8	Falta de alianzas financieras para crédito vehicular.
D9	Ausencia de un sistema robusto de evaluación del desempeño.
D10	Baja participación en licitaciones del sector público o corporativo.
D11	Poca innovación en estrategias de ventas personalizadas
</t>
  </si>
  <si>
    <t>Oportunidades</t>
  </si>
  <si>
    <t>Estrategia Ofensiva</t>
  </si>
  <si>
    <t>Estrategia Adaptativa</t>
  </si>
  <si>
    <t>Teniendo en cuenta estas oportunidades
O1	Crecimiento de canales digitales y redes sociales para mejorar experiencia de compra
O2	Normas de Indecopi (garantía, postventa) que aumentan confianza del cliente
O3	Creciente demanda del consumidor por conectividad vehicular y control de vehículo vía aplicaciones móviles
O4	Altas inversiones requeridas en infraestructura como barrera de entrada para nuevos competidores
O5	Creación del Fondo de Promoción de Electromovilidad (FONCOER) y financiamiento verde
O6	Mayor interés del público joven en movilidad personal (motos, autos)
O7	Mayor conciencia ambiental entre segmentos ABC que impulsa preferencia por vehículos híbridos y eléctricos
O8	Mayor demanda por vehículos utilitarios (SUV y camionetas) por seguridad y versatilidad
O9	Tendencia de concentración y consolidación entre grupos concesionarios que facilita alianzas estratégicas
O10	Disponibilidad en mercado de herramientas de IA para el sector automotriz</t>
  </si>
  <si>
    <t>E1	  Potenciar el CRM y la plataforma digital para captar clientes vía redes sociales y automatizar cotizaciones y seguimiento.
E2	  Lanzar una línea que tenga motos y autos compactos siendo respaldada por la fortaleza de marca para atraer al segmento joven.
E3	  Introducir modelos híbridos/eléctricos mediante acuerdos internacionales y financiamiento verde para liderar la electromovilidad.
E4	  Garantizar disponibilidad inmediata de SUVs/camionetas mediante logística optimizada, superando tiempos de entrega de la competencia.
E5	  Fortalecer y estandarizar la postventa para cumplir y superar Indecopi, elevando la confianza y fidelización del cliente.
E6	  Crear una linea que  impulse vehículos híbridos/eléctricos, alineados a la preferencia ambiental de segmentos premium.
E7	  Ofrecer servicios avanzados de conectividad (telemetría, apps, diagnósticos remotos) gracias al personal técnico especializado.
E8	  Formar la red “Incamotors Network” integrando concesionarios medianos mediante experiencia operativa y procesos consolidados.
E9	  Implementar IA para personalizar ofertas y mejorar la experiencia del cliente basándose en el historial de satisfacción.
E10	  Impulsar un portafolio premium de SUVs dirigido a segmentos de mayor valor alineado a la tendencia utilitaria.</t>
  </si>
  <si>
    <t>E1	  Digitalizar y automatizar procesos administrativos y comerciales integrando CRM, ventas online y atención digital.
E2	  Implementar IA para personalizar ofertas, recomendar modelos y automatizar propuestas comerciales.
E3	  Expandir portafolio eco mediante alianzas estratégicas y uso del FONCOER para ingresar al mercado eléctrico.
E4	  Integrarse a redes de concesionarios para compras conjuntas, economías de escala y reducción del riesgo cambiario.
E5	  Establecer convenios con financieras/fintech para ofrecer créditos accesibles a jóvenes (autos compactos, motos).
E6	  Expandirse a regiones estratégicas con showrooms móviles y alianzas locales para captar demanda creciente.
E7	  Invertir en soluciones de conectividad (apps, telemetría) y servicios digitales asociados a vehículos conectados.
E8	  Ingresar al mercado corporativo/estatal aprovechando que los altos requisitos excluyen a nuevos competidores.</t>
  </si>
  <si>
    <t>Amenazas</t>
  </si>
  <si>
    <t>Estrategia Defensiva</t>
  </si>
  <si>
    <t>Estrategia Supervivencia</t>
  </si>
  <si>
    <t>A1	Volatilidad del tipo de cambio que encarece la importación de vehículos
A2	Ingreso de fabricantes globales (Toyota, Honda, Nissan) que abren canales directos de distribución eliminando intermediarios
A3	Cambios frecuentes en legislación laboral y tributaria (AFP, EPS) que incrementan costos operacionales
A4	Normativas del MTC que obligan incorporación de tecnologías de seguridad (ABS, airbag, control estabilidad)
A5	Tasas de interés (TEA) elevadas que limitan el acceso al crédito vehicular
A6	Competencia con marcas globales de alto prestigio y gran poder de negociación
A7	Ausencia de infraestructura de carga pública para vehículos eléctricos en Perú 
A8	Regulaciones ambientales más estrictas sobre emisiones vehiculares</t>
  </si>
  <si>
    <t>E1	  Reforzar la consolidación de importaciones y la planificación de compras para reducir el impacto del tipo de cambio sobre el costo del vehículo.
E2	  Negociar acuerdos exclusivos y programas de fidelización con marcas aliadas para evitar ser desplazados por canales directos.
E3	  Optimizar productividad técnica mediante especialización y digitalización de procesos para compensar los mayores costos laborales.
E4	  Integrar módulos digitales de seguimiento técnico para asegurar cumplimiento y actualización de tecnologías obligatorias.
E5	  Fortalecer procesos de reducción de emisiones y trazabilidad ambiental para minimizar multas y adelantarse a regulaciones.
E6	  Diferenciar el portafolio con paquetes de valor, servicio boutique y garantías premium para competir frente a marcas de mayor prestigio.
E7	  Incentivar la compra mediante beneficios postventa (mantenimientos incluidos, garantías extendidas) para compensar la barrera del crédito.</t>
  </si>
  <si>
    <t>E1	  Diversificar proveedores y asegurar compras programadas o contratos forward para reducir el impacto del tipo de cambio.
E2	  Negociar contratos de abastecimiento más estables y asegurar acuerdos mínimos para evitar ser desplazados por distribuidores directos.
E3	  Implementar automatización básica (contable y RR.HH.) para evitar sanciones y sobrecostos por errores manuales.
E4	Asignar inversión mínima obligatoria para cumplir con tecnología reglamentaria (ABS, airbag), evitando multas y paralización de ventas.
E5	  Establecer convenios urgentes con financieras/fintech para evitar caída drástica en ventas por falta de acceso al crédito vehicular.
E6	  Ajustar el portafolio eléctrico a modelos híbridos o mild-hybrid que no dependan de cargadores públicos para no perder competitividad.
E7	  Implementar un sistema básico de evaluación de desempeño para alinear servicio, tiempos y calidad frente a competidores globales.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</si>
</sst>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theme="0"/>
      <name val="Calibri"/>
      <family val="2"/>
      <scheme val="minor"/>
    </font>
    <font>
      <b/>
      <sz val="11"/>
      <color theme="1"/>
      <name val="Calibri"/>
      <family val="2"/>
      <scheme val="minor"/>
    </font>
    <font>
      <sz val="10"/>
      <name val="Calibri"/>
      <family val="2"/>
    </font>
    <font>
      <b/>
      <sz val="9"/>
      <color theme="1"/>
      <name val="Calibri"/>
      <family val="2"/>
      <scheme val="minor"/>
    </font>
    <font>
      <sz val="8"/>
      <color rgb="FF000000"/>
      <name val="Calibri"/>
      <family val="2"/>
    </font>
    <font>
      <b/>
      <sz val="14"/>
      <color rgb="FF000000"/>
      <name val="Calibri"/>
      <family val="2"/>
    </font>
    <font>
      <b/>
      <sz val="12"/>
      <color rgb="FFC00000"/>
      <name val="Calibri"/>
      <family val="2"/>
    </font>
    <font>
      <b/>
      <sz val="10"/>
      <color rgb="FF000000"/>
      <name val="Calibri"/>
      <family val="2"/>
    </font>
    <font>
      <b/>
      <sz val="11"/>
      <name val="Calibri"/>
      <family val="2"/>
      <scheme val="minor"/>
    </font>
    <font>
      <b/>
      <sz val="14"/>
      <color theme="1"/>
      <name val="Calibri"/>
      <family val="2"/>
      <scheme val="minor"/>
    </font>
    <font>
      <b/>
      <sz val="18"/>
      <color theme="0"/>
      <name val="Calibri"/>
      <family val="2"/>
      <scheme val="minor"/>
    </font>
    <font>
      <b/>
      <sz val="18"/>
      <color theme="1"/>
      <name val="Calibri"/>
      <family val="2"/>
      <scheme val="minor"/>
    </font>
    <font>
      <sz val="9"/>
      <color theme="1"/>
      <name val="Calibri"/>
      <family val="2"/>
      <scheme val="minor"/>
    </font>
    <font>
      <sz val="8"/>
      <name val="Calibri"/>
      <family val="2"/>
      <scheme val="minor"/>
    </font>
    <font>
      <sz val="8"/>
      <name val="Calibri"/>
      <family val="2"/>
    </font>
    <font>
      <b/>
      <sz val="12"/>
      <color theme="1"/>
      <name val="Calibri"/>
      <family val="2"/>
      <scheme val="minor"/>
    </font>
    <font>
      <b/>
      <sz val="14"/>
      <color theme="0"/>
      <name val="Times New Roman"/>
      <family val="1"/>
    </font>
    <font>
      <sz val="11"/>
      <color theme="1"/>
      <name val="Aptos"/>
      <family val="2"/>
    </font>
    <font>
      <b/>
      <sz val="48"/>
      <color theme="1"/>
      <name val="Georgia"/>
      <family val="1"/>
    </font>
    <font>
      <sz val="11"/>
      <color theme="1"/>
      <name val="Georgia"/>
      <family val="1"/>
    </font>
    <font>
      <b/>
      <sz val="16"/>
      <color theme="1"/>
      <name val="Calibri"/>
      <family val="2"/>
      <scheme val="minor"/>
    </font>
    <font>
      <b/>
      <sz val="26"/>
      <color theme="0"/>
      <name val="Times New Roman"/>
      <family val="1"/>
    </font>
    <font>
      <sz val="12"/>
      <color rgb="FF000000"/>
      <name val="Calibri"/>
      <scheme val="minor"/>
    </font>
    <font>
      <sz val="10"/>
      <color rgb="FF000000"/>
      <name val="Calibri"/>
      <family val="2"/>
      <scheme val="minor"/>
    </font>
    <font>
      <sz val="12"/>
      <color rgb="FF000000"/>
      <name val="Calibri"/>
      <family val="2"/>
      <scheme val="minor"/>
    </font>
    <font>
      <sz val="12"/>
      <color theme="1"/>
      <name val="Calibri"/>
      <family val="2"/>
      <scheme val="minor"/>
    </font>
    <font>
      <sz val="12"/>
      <color theme="1"/>
      <name val="Aptos"/>
      <family val="2"/>
    </font>
    <font>
      <sz val="12"/>
      <name val="Calibri"/>
      <family val="2"/>
    </font>
    <font>
      <b/>
      <sz val="16"/>
      <color theme="0"/>
      <name val="Times New Roman"/>
      <family val="1"/>
    </font>
  </fonts>
  <fills count="17">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7" tint="0.39997558519241921"/>
        <bgColor indexed="64"/>
      </patternFill>
    </fill>
    <fill>
      <patternFill patternType="solid">
        <fgColor rgb="FFFFFF66"/>
        <bgColor indexed="64"/>
      </patternFill>
    </fill>
    <fill>
      <patternFill patternType="solid">
        <fgColor rgb="FF66FF99"/>
        <bgColor indexed="64"/>
      </patternFill>
    </fill>
    <fill>
      <patternFill patternType="solid">
        <fgColor theme="2" tint="-0.749992370372631"/>
        <bgColor indexed="64"/>
      </patternFill>
    </fill>
    <fill>
      <patternFill patternType="solid">
        <fgColor theme="8" tint="0.79998168889431442"/>
        <bgColor indexed="64"/>
      </patternFill>
    </fill>
    <fill>
      <patternFill patternType="solid">
        <fgColor rgb="FFCCCCFF"/>
        <bgColor indexed="64"/>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14999847407452621"/>
      </left>
      <right/>
      <top style="thin">
        <color rgb="FFC00000"/>
      </top>
      <bottom/>
      <diagonal/>
    </border>
    <border>
      <left style="thin">
        <color theme="1" tint="0.14999847407452621"/>
      </left>
      <right style="thin">
        <color theme="1" tint="0.14999847407452621"/>
      </right>
      <top style="thin">
        <color rgb="FFC00000"/>
      </top>
      <bottom/>
      <diagonal/>
    </border>
    <border>
      <left style="thin">
        <color rgb="FFC00000"/>
      </left>
      <right style="thin">
        <color theme="1" tint="0.14999847407452621"/>
      </right>
      <top style="thin">
        <color rgb="FFC00000"/>
      </top>
      <bottom/>
      <diagonal/>
    </border>
    <border>
      <left/>
      <right style="thin">
        <color indexed="64"/>
      </right>
      <top style="thin">
        <color indexed="64"/>
      </top>
      <bottom style="thin">
        <color indexed="64"/>
      </bottom>
      <diagonal/>
    </border>
    <border>
      <left/>
      <right/>
      <top style="thin">
        <color rgb="FFC00000"/>
      </top>
      <bottom style="thin">
        <color indexed="64"/>
      </bottom>
      <diagonal/>
    </border>
    <border>
      <left/>
      <right style="thin">
        <color rgb="FFC00000"/>
      </right>
      <top style="thin">
        <color rgb="FFC00000"/>
      </top>
      <bottom style="thin">
        <color indexed="64"/>
      </bottom>
      <diagonal/>
    </border>
  </borders>
  <cellStyleXfs count="1">
    <xf numFmtId="0" fontId="0" fillId="0" borderId="0"/>
  </cellStyleXfs>
  <cellXfs count="124">
    <xf numFmtId="0" fontId="0" fillId="0" borderId="0" xfId="0"/>
    <xf numFmtId="0" fontId="0" fillId="0" borderId="0" xfId="0" applyAlignment="1">
      <alignment horizontal="center"/>
    </xf>
    <xf numFmtId="0" fontId="0" fillId="0" borderId="0" xfId="0" applyAlignment="1">
      <alignment horizontal="center" vertical="center"/>
    </xf>
    <xf numFmtId="0" fontId="5" fillId="4" borderId="0" xfId="0" applyFont="1" applyFill="1"/>
    <xf numFmtId="0" fontId="5" fillId="0" borderId="0" xfId="0" applyFont="1"/>
    <xf numFmtId="0" fontId="0" fillId="4" borderId="0" xfId="0" applyFill="1"/>
    <xf numFmtId="0" fontId="0" fillId="4" borderId="0" xfId="0" applyFill="1" applyAlignment="1">
      <alignment horizontal="center" vertical="center"/>
    </xf>
    <xf numFmtId="0" fontId="0" fillId="4" borderId="0" xfId="0" applyFill="1" applyAlignment="1">
      <alignment horizontal="center"/>
    </xf>
    <xf numFmtId="0" fontId="6" fillId="4" borderId="0" xfId="0" applyFont="1" applyFill="1" applyAlignment="1">
      <alignment vertical="center" wrapText="1"/>
    </xf>
    <xf numFmtId="0" fontId="8" fillId="4" borderId="0" xfId="0" applyFont="1" applyFill="1" applyAlignment="1">
      <alignment vertical="center" wrapText="1"/>
    </xf>
    <xf numFmtId="0" fontId="2" fillId="0" borderId="0" xfId="0" applyFont="1" applyAlignment="1">
      <alignment horizontal="center" vertical="center"/>
    </xf>
    <xf numFmtId="0" fontId="13" fillId="8" borderId="1" xfId="0" applyFont="1" applyFill="1" applyBorder="1" applyAlignment="1">
      <alignment horizontal="center" vertical="center"/>
    </xf>
    <xf numFmtId="0" fontId="13" fillId="8" borderId="3" xfId="0" applyFont="1" applyFill="1" applyBorder="1" applyAlignment="1">
      <alignment horizontal="center" vertical="center"/>
    </xf>
    <xf numFmtId="0" fontId="13" fillId="8" borderId="5" xfId="0" applyFont="1" applyFill="1" applyBorder="1" applyAlignment="1">
      <alignment horizontal="center" vertical="center"/>
    </xf>
    <xf numFmtId="0" fontId="13" fillId="12" borderId="1" xfId="0" applyFont="1" applyFill="1" applyBorder="1" applyAlignment="1">
      <alignment horizontal="center" vertical="center"/>
    </xf>
    <xf numFmtId="0" fontId="13" fillId="12" borderId="3" xfId="0" applyFont="1" applyFill="1" applyBorder="1" applyAlignment="1">
      <alignment horizontal="center" vertical="center"/>
    </xf>
    <xf numFmtId="0" fontId="13" fillId="12" borderId="5" xfId="0" applyFont="1" applyFill="1" applyBorder="1" applyAlignment="1">
      <alignment horizontal="center" vertical="center"/>
    </xf>
    <xf numFmtId="0" fontId="4" fillId="0" borderId="10" xfId="0" applyFont="1" applyBorder="1" applyAlignment="1">
      <alignment horizontal="center" vertical="center"/>
    </xf>
    <xf numFmtId="0" fontId="2" fillId="0" borderId="10" xfId="0" applyFont="1" applyBorder="1" applyAlignment="1">
      <alignment horizontal="center" vertical="center"/>
    </xf>
    <xf numFmtId="0" fontId="0" fillId="8" borderId="2" xfId="0" applyFill="1" applyBorder="1" applyAlignment="1">
      <alignment wrapText="1"/>
    </xf>
    <xf numFmtId="0" fontId="0" fillId="8" borderId="4" xfId="0" applyFill="1" applyBorder="1" applyAlignment="1">
      <alignment wrapText="1"/>
    </xf>
    <xf numFmtId="0" fontId="0" fillId="8" borderId="6" xfId="0" applyFill="1" applyBorder="1" applyAlignment="1">
      <alignment wrapText="1"/>
    </xf>
    <xf numFmtId="0" fontId="9" fillId="5" borderId="12" xfId="0" applyFont="1" applyFill="1" applyBorder="1" applyAlignment="1">
      <alignment horizontal="center"/>
    </xf>
    <xf numFmtId="0" fontId="0" fillId="0" borderId="10" xfId="0" applyBorder="1" applyAlignment="1">
      <alignment vertical="center" wrapText="1"/>
    </xf>
    <xf numFmtId="0" fontId="4" fillId="7" borderId="10" xfId="0" applyFont="1" applyFill="1" applyBorder="1" applyAlignment="1">
      <alignment horizontal="center" vertical="center"/>
    </xf>
    <xf numFmtId="0" fontId="0" fillId="12" borderId="2" xfId="0" applyFill="1" applyBorder="1" applyAlignment="1">
      <alignment wrapText="1"/>
    </xf>
    <xf numFmtId="0" fontId="13" fillId="11" borderId="1" xfId="0" applyFont="1" applyFill="1" applyBorder="1" applyAlignment="1">
      <alignment horizontal="center" vertical="center" wrapText="1"/>
    </xf>
    <xf numFmtId="0" fontId="0" fillId="11" borderId="2" xfId="0" applyFill="1" applyBorder="1" applyAlignment="1">
      <alignment wrapText="1"/>
    </xf>
    <xf numFmtId="0" fontId="0" fillId="12" borderId="4" xfId="0" applyFill="1" applyBorder="1" applyAlignment="1">
      <alignment wrapText="1"/>
    </xf>
    <xf numFmtId="0" fontId="13" fillId="11" borderId="3" xfId="0" applyFont="1" applyFill="1" applyBorder="1" applyAlignment="1">
      <alignment horizontal="center" vertical="center" wrapText="1"/>
    </xf>
    <xf numFmtId="0" fontId="0" fillId="11" borderId="4" xfId="0" applyFill="1" applyBorder="1" applyAlignment="1">
      <alignment wrapText="1"/>
    </xf>
    <xf numFmtId="0" fontId="0" fillId="12" borderId="6" xfId="0" applyFill="1" applyBorder="1" applyAlignment="1">
      <alignment wrapText="1"/>
    </xf>
    <xf numFmtId="0" fontId="13" fillId="11" borderId="5" xfId="0" applyFont="1" applyFill="1" applyBorder="1" applyAlignment="1">
      <alignment horizontal="center" vertical="center" wrapText="1"/>
    </xf>
    <xf numFmtId="0" fontId="0" fillId="11" borderId="6" xfId="0" applyFill="1" applyBorder="1" applyAlignment="1">
      <alignment wrapText="1"/>
    </xf>
    <xf numFmtId="0" fontId="13" fillId="12" borderId="1"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2" borderId="5" xfId="0" applyFont="1" applyFill="1" applyBorder="1" applyAlignment="1">
      <alignment horizontal="center" vertical="center" wrapText="1"/>
    </xf>
    <xf numFmtId="0" fontId="1" fillId="10" borderId="10" xfId="0" applyFont="1" applyFill="1" applyBorder="1" applyAlignment="1">
      <alignment horizontal="center"/>
    </xf>
    <xf numFmtId="0" fontId="1" fillId="3" borderId="10" xfId="0" applyFont="1" applyFill="1" applyBorder="1" applyAlignment="1">
      <alignment horizontal="center"/>
    </xf>
    <xf numFmtId="0" fontId="4" fillId="0" borderId="0" xfId="0" applyFont="1" applyAlignment="1">
      <alignment horizontal="center" vertical="center"/>
    </xf>
    <xf numFmtId="0" fontId="4" fillId="7" borderId="0" xfId="0" applyFont="1" applyFill="1"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xf>
    <xf numFmtId="0" fontId="4" fillId="0" borderId="10" xfId="0" applyFont="1" applyBorder="1" applyAlignment="1">
      <alignment horizontal="center" vertical="center" wrapText="1"/>
    </xf>
    <xf numFmtId="0" fontId="0" fillId="0" borderId="10" xfId="0" applyBorder="1" applyAlignment="1">
      <alignment wrapText="1"/>
    </xf>
    <xf numFmtId="0" fontId="4" fillId="7" borderId="10" xfId="0" applyFont="1" applyFill="1" applyBorder="1" applyAlignment="1">
      <alignment horizontal="center" vertical="center" wrapText="1"/>
    </xf>
    <xf numFmtId="0" fontId="18" fillId="0" borderId="10" xfId="0" applyFont="1" applyBorder="1" applyAlignment="1">
      <alignment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0" fillId="0" borderId="10" xfId="0" applyBorder="1" applyAlignment="1">
      <alignment horizontal="left" vertical="center" wrapText="1"/>
    </xf>
    <xf numFmtId="0" fontId="0" fillId="0" borderId="10" xfId="0" applyBorder="1" applyAlignment="1">
      <alignment horizontal="center" vertical="center" wrapText="1"/>
    </xf>
    <xf numFmtId="0" fontId="2" fillId="0" borderId="0" xfId="0" applyFont="1" applyAlignment="1">
      <alignment horizontal="left" vertical="center" wrapText="1"/>
    </xf>
    <xf numFmtId="0" fontId="5" fillId="4" borderId="0" xfId="0" applyFont="1" applyFill="1" applyAlignment="1">
      <alignment wrapText="1"/>
    </xf>
    <xf numFmtId="0" fontId="5" fillId="0" borderId="0" xfId="0" applyFont="1" applyAlignment="1">
      <alignment wrapText="1"/>
    </xf>
    <xf numFmtId="0" fontId="0" fillId="4" borderId="0" xfId="0" applyFill="1" applyAlignment="1">
      <alignment wrapText="1"/>
    </xf>
    <xf numFmtId="0" fontId="0" fillId="0" borderId="11" xfId="0" applyBorder="1" applyAlignment="1">
      <alignment horizontal="left" vertical="center" wrapText="1"/>
    </xf>
    <xf numFmtId="0" fontId="22" fillId="14" borderId="0" xfId="0" applyFont="1" applyFill="1" applyAlignment="1">
      <alignment horizontal="center" vertical="center"/>
    </xf>
    <xf numFmtId="0" fontId="2" fillId="0" borderId="0" xfId="0" applyFont="1" applyAlignment="1">
      <alignment vertical="center" wrapText="1"/>
    </xf>
    <xf numFmtId="0" fontId="0" fillId="0" borderId="0" xfId="0" applyAlignment="1">
      <alignment vertical="center" wrapText="1"/>
    </xf>
    <xf numFmtId="0" fontId="4" fillId="7" borderId="0" xfId="0" applyFont="1" applyFill="1" applyAlignment="1">
      <alignment horizontal="center" vertical="center" wrapText="1"/>
    </xf>
    <xf numFmtId="0" fontId="23" fillId="0" borderId="10" xfId="0" applyFont="1" applyBorder="1" applyAlignment="1">
      <alignment wrapText="1"/>
    </xf>
    <xf numFmtId="0" fontId="24" fillId="0" borderId="10" xfId="0" applyFont="1" applyBorder="1" applyAlignment="1">
      <alignment vertical="center" wrapText="1"/>
    </xf>
    <xf numFmtId="0" fontId="23" fillId="0" borderId="10" xfId="0" applyFont="1" applyBorder="1"/>
    <xf numFmtId="0" fontId="0" fillId="0" borderId="10" xfId="0" applyBorder="1"/>
    <xf numFmtId="0" fontId="2" fillId="7" borderId="10" xfId="0" applyFont="1" applyFill="1" applyBorder="1" applyAlignment="1">
      <alignment horizontal="center" vertical="center"/>
    </xf>
    <xf numFmtId="0" fontId="25" fillId="0" borderId="10" xfId="0" applyFont="1" applyBorder="1" applyAlignment="1">
      <alignment vertical="center" wrapText="1"/>
    </xf>
    <xf numFmtId="0" fontId="25" fillId="0" borderId="10" xfId="0" applyFont="1" applyBorder="1"/>
    <xf numFmtId="0" fontId="3" fillId="7" borderId="0" xfId="0" applyFont="1" applyFill="1" applyAlignment="1">
      <alignment horizontal="left" vertical="center" wrapText="1"/>
    </xf>
    <xf numFmtId="0" fontId="3" fillId="0" borderId="0" xfId="0" applyFont="1" applyAlignment="1">
      <alignment horizontal="left" vertical="center" wrapText="1"/>
    </xf>
    <xf numFmtId="0" fontId="3" fillId="0" borderId="10" xfId="0" applyFont="1" applyBorder="1" applyAlignment="1">
      <alignment horizontal="left" vertical="center" wrapText="1"/>
    </xf>
    <xf numFmtId="0" fontId="1" fillId="2" borderId="10" xfId="0" applyFont="1" applyFill="1" applyBorder="1" applyAlignment="1">
      <alignment horizontal="center"/>
    </xf>
    <xf numFmtId="0" fontId="0" fillId="0" borderId="10" xfId="0" applyBorder="1" applyAlignment="1">
      <alignment horizontal="center" vertical="center"/>
    </xf>
    <xf numFmtId="0" fontId="0" fillId="0" borderId="10" xfId="0" applyBorder="1" applyAlignment="1">
      <alignment horizontal="left" vertical="center"/>
    </xf>
    <xf numFmtId="0" fontId="25" fillId="0" borderId="10" xfId="0" applyFont="1" applyBorder="1" applyAlignment="1">
      <alignment wrapText="1"/>
    </xf>
    <xf numFmtId="0" fontId="23" fillId="0" borderId="10" xfId="0" applyFont="1" applyBorder="1" applyAlignment="1">
      <alignment vertical="center" wrapText="1"/>
    </xf>
    <xf numFmtId="0" fontId="25" fillId="0" borderId="10" xfId="0" applyFont="1" applyBorder="1" applyAlignment="1">
      <alignment vertical="center"/>
    </xf>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16" fillId="7" borderId="10" xfId="0" applyFont="1" applyFill="1" applyBorder="1" applyAlignment="1">
      <alignment horizontal="center" vertical="center"/>
    </xf>
    <xf numFmtId="0" fontId="27" fillId="0" borderId="10" xfId="0" applyFont="1" applyBorder="1" applyAlignment="1">
      <alignment vertical="center" wrapText="1"/>
    </xf>
    <xf numFmtId="0" fontId="28" fillId="0" borderId="10" xfId="0" applyFont="1" applyBorder="1" applyAlignment="1">
      <alignment horizontal="left" vertical="center" wrapText="1"/>
    </xf>
    <xf numFmtId="0" fontId="28" fillId="7" borderId="10" xfId="0" applyFont="1" applyFill="1" applyBorder="1" applyAlignment="1">
      <alignment horizontal="left" vertical="center" wrapText="1"/>
    </xf>
    <xf numFmtId="0" fontId="22" fillId="14" borderId="10" xfId="0" applyFont="1" applyFill="1" applyBorder="1" applyAlignment="1">
      <alignment horizontal="center" vertical="center"/>
    </xf>
    <xf numFmtId="0" fontId="17" fillId="14" borderId="10" xfId="0" applyFont="1" applyFill="1" applyBorder="1" applyAlignment="1">
      <alignment horizontal="center" vertical="center"/>
    </xf>
    <xf numFmtId="0" fontId="29" fillId="14" borderId="10" xfId="0" applyFont="1" applyFill="1" applyBorder="1" applyAlignment="1">
      <alignment horizontal="center" vertical="center"/>
    </xf>
    <xf numFmtId="0" fontId="10" fillId="0" borderId="0" xfId="0" applyFont="1" applyAlignment="1">
      <alignment horizontal="center" vertical="center"/>
    </xf>
    <xf numFmtId="0" fontId="10" fillId="13" borderId="10" xfId="0" applyFont="1" applyFill="1" applyBorder="1" applyAlignment="1">
      <alignment horizontal="center" vertical="center"/>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10" fillId="6" borderId="4" xfId="0" applyFont="1" applyFill="1" applyBorder="1" applyAlignment="1">
      <alignment horizontal="center" vertical="center" textRotation="90"/>
    </xf>
    <xf numFmtId="0" fontId="10" fillId="6" borderId="6" xfId="0" applyFont="1" applyFill="1" applyBorder="1" applyAlignment="1">
      <alignment horizontal="center" vertical="center" textRotation="90"/>
    </xf>
    <xf numFmtId="0" fontId="10" fillId="6" borderId="0" xfId="0" applyFont="1" applyFill="1" applyAlignment="1">
      <alignment horizontal="center" vertical="center" textRotation="90"/>
    </xf>
    <xf numFmtId="0" fontId="11" fillId="9" borderId="0" xfId="0" applyFont="1" applyFill="1" applyAlignment="1">
      <alignment horizontal="center" vertical="center" textRotation="90"/>
    </xf>
    <xf numFmtId="0" fontId="10" fillId="13" borderId="0" xfId="0" applyFont="1" applyFill="1" applyAlignment="1">
      <alignment horizontal="center" vertical="center"/>
    </xf>
    <xf numFmtId="0" fontId="10" fillId="13" borderId="8" xfId="0" applyFont="1" applyFill="1" applyBorder="1" applyAlignment="1">
      <alignment horizontal="center" vertical="center"/>
    </xf>
    <xf numFmtId="0" fontId="10" fillId="13" borderId="9" xfId="0" applyFont="1" applyFill="1" applyBorder="1" applyAlignment="1">
      <alignment horizontal="center" vertical="center"/>
    </xf>
    <xf numFmtId="0" fontId="12" fillId="3" borderId="7" xfId="0" applyFont="1" applyFill="1" applyBorder="1" applyAlignment="1">
      <alignment horizontal="center" vertical="center"/>
    </xf>
    <xf numFmtId="0" fontId="1" fillId="2" borderId="10" xfId="0" applyFont="1" applyFill="1" applyBorder="1" applyAlignment="1">
      <alignment horizontal="center"/>
    </xf>
    <xf numFmtId="0" fontId="8" fillId="4" borderId="0" xfId="0" applyFont="1" applyFill="1" applyAlignment="1">
      <alignment horizontal="center" vertical="center" wrapText="1"/>
    </xf>
    <xf numFmtId="0" fontId="1" fillId="3" borderId="10" xfId="0" applyFont="1" applyFill="1" applyBorder="1" applyAlignment="1">
      <alignment horizontal="center"/>
    </xf>
    <xf numFmtId="0" fontId="1" fillId="3" borderId="8" xfId="0" applyFont="1" applyFill="1" applyBorder="1" applyAlignment="1">
      <alignment horizontal="center"/>
    </xf>
    <xf numFmtId="0" fontId="1" fillId="3" borderId="15" xfId="0" applyFont="1" applyFill="1" applyBorder="1" applyAlignment="1">
      <alignment horizontal="center"/>
    </xf>
    <xf numFmtId="0" fontId="9" fillId="5" borderId="14" xfId="0" applyFont="1" applyFill="1" applyBorder="1" applyAlignment="1">
      <alignment horizontal="center"/>
    </xf>
    <xf numFmtId="0" fontId="9" fillId="5" borderId="13" xfId="0" applyFont="1" applyFill="1" applyBorder="1" applyAlignment="1">
      <alignment horizontal="center"/>
    </xf>
    <xf numFmtId="0" fontId="9" fillId="5" borderId="12" xfId="0" applyFont="1" applyFill="1" applyBorder="1" applyAlignment="1">
      <alignment horizontal="center"/>
    </xf>
    <xf numFmtId="0" fontId="9" fillId="5" borderId="16" xfId="0" applyFont="1" applyFill="1" applyBorder="1" applyAlignment="1">
      <alignment horizontal="center"/>
    </xf>
    <xf numFmtId="0" fontId="9" fillId="5" borderId="17" xfId="0" applyFont="1" applyFill="1" applyBorder="1" applyAlignment="1">
      <alignment horizontal="center"/>
    </xf>
    <xf numFmtId="0" fontId="1" fillId="10" borderId="10" xfId="0" applyFont="1" applyFill="1" applyBorder="1" applyAlignment="1">
      <alignment horizontal="center"/>
    </xf>
    <xf numFmtId="0" fontId="1" fillId="10" borderId="8" xfId="0" applyFont="1" applyFill="1" applyBorder="1" applyAlignment="1">
      <alignment horizontal="center"/>
    </xf>
    <xf numFmtId="0" fontId="1" fillId="10" borderId="15" xfId="0" applyFont="1" applyFill="1" applyBorder="1" applyAlignment="1">
      <alignment horizontal="center"/>
    </xf>
    <xf numFmtId="0" fontId="19" fillId="0" borderId="10" xfId="0" applyFont="1" applyBorder="1" applyAlignment="1">
      <alignment horizontal="center"/>
    </xf>
    <xf numFmtId="0" fontId="20" fillId="0" borderId="10" xfId="0" applyFont="1" applyBorder="1" applyAlignment="1">
      <alignment horizontal="center"/>
    </xf>
    <xf numFmtId="0" fontId="21" fillId="15" borderId="10" xfId="0" applyFont="1" applyFill="1" applyBorder="1" applyAlignment="1">
      <alignment horizontal="left" vertical="top" wrapText="1"/>
    </xf>
    <xf numFmtId="0" fontId="21" fillId="15" borderId="10" xfId="0" applyFont="1" applyFill="1" applyBorder="1" applyAlignment="1">
      <alignment horizontal="left" vertical="top"/>
    </xf>
    <xf numFmtId="0" fontId="10" fillId="15" borderId="10" xfId="0" applyFont="1" applyFill="1" applyBorder="1" applyAlignment="1">
      <alignment horizontal="left" vertical="top" wrapText="1"/>
    </xf>
    <xf numFmtId="0" fontId="12" fillId="15" borderId="10" xfId="0" applyFont="1" applyFill="1" applyBorder="1" applyAlignment="1">
      <alignment horizontal="left" vertical="top" wrapText="1"/>
    </xf>
    <xf numFmtId="0" fontId="12" fillId="15" borderId="10" xfId="0" applyFont="1" applyFill="1" applyBorder="1" applyAlignment="1">
      <alignment horizontal="left" vertical="top"/>
    </xf>
    <xf numFmtId="0" fontId="10" fillId="16" borderId="10" xfId="0" applyFont="1" applyFill="1" applyBorder="1" applyAlignment="1">
      <alignment horizontal="left" vertical="top" wrapText="1"/>
    </xf>
    <xf numFmtId="0" fontId="12" fillId="16" borderId="10" xfId="0" applyFont="1" applyFill="1" applyBorder="1" applyAlignment="1">
      <alignment horizontal="left" vertical="top" wrapText="1"/>
    </xf>
    <xf numFmtId="0" fontId="12" fillId="16" borderId="10"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CCCCFF"/>
      <color rgb="FFCC99FF"/>
      <color rgb="FF66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1566012</xdr:colOff>
      <xdr:row>4</xdr:row>
      <xdr:rowOff>156753</xdr:rowOff>
    </xdr:from>
    <xdr:to>
      <xdr:col>2</xdr:col>
      <xdr:colOff>5756386</xdr:colOff>
      <xdr:row>15</xdr:row>
      <xdr:rowOff>124690</xdr:rowOff>
    </xdr:to>
    <xdr:pic>
      <xdr:nvPicPr>
        <xdr:cNvPr id="2" name="Imagen 1" descr="Directorio Empresarial | Cámara de Comercio e Industria de Arequipa">
          <a:extLst>
            <a:ext uri="{FF2B5EF4-FFF2-40B4-BE49-F238E27FC236}">
              <a16:creationId xmlns:a16="http://schemas.microsoft.com/office/drawing/2014/main" id="{AB8A253D-24D4-0151-C1EB-9A07552618E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8" b="17019"/>
        <a:stretch/>
      </xdr:blipFill>
      <xdr:spPr bwMode="auto">
        <a:xfrm>
          <a:off x="3150972" y="1223553"/>
          <a:ext cx="4190374" cy="2650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xdr:row>
      <xdr:rowOff>0</xdr:rowOff>
    </xdr:from>
    <xdr:to>
      <xdr:col>3</xdr:col>
      <xdr:colOff>304800</xdr:colOff>
      <xdr:row>11</xdr:row>
      <xdr:rowOff>66502</xdr:rowOff>
    </xdr:to>
    <xdr:sp macro="" textlink="">
      <xdr:nvSpPr>
        <xdr:cNvPr id="1026" name="AutoShape 2" descr="Logo Incamotors">
          <a:extLst>
            <a:ext uri="{FF2B5EF4-FFF2-40B4-BE49-F238E27FC236}">
              <a16:creationId xmlns:a16="http://schemas.microsoft.com/office/drawing/2014/main" id="{E1B61E79-B18A-EB2B-09B4-5AB6B1E0DBD2}"/>
            </a:ext>
          </a:extLst>
        </xdr:cNvPr>
        <xdr:cNvSpPr>
          <a:spLocks noChangeAspect="1" noChangeArrowheads="1"/>
        </xdr:cNvSpPr>
      </xdr:nvSpPr>
      <xdr:spPr bwMode="auto">
        <a:xfrm>
          <a:off x="54102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xdr:row>
      <xdr:rowOff>0</xdr:rowOff>
    </xdr:from>
    <xdr:to>
      <xdr:col>3</xdr:col>
      <xdr:colOff>304800</xdr:colOff>
      <xdr:row>11</xdr:row>
      <xdr:rowOff>66502</xdr:rowOff>
    </xdr:to>
    <xdr:sp macro="" textlink="">
      <xdr:nvSpPr>
        <xdr:cNvPr id="1027" name="AutoShape 3" descr="Logo Incamotors">
          <a:extLst>
            <a:ext uri="{FF2B5EF4-FFF2-40B4-BE49-F238E27FC236}">
              <a16:creationId xmlns:a16="http://schemas.microsoft.com/office/drawing/2014/main" id="{4B3821A9-5844-C63F-9BDB-BFD7B8FC9C1A}"/>
            </a:ext>
          </a:extLst>
        </xdr:cNvPr>
        <xdr:cNvSpPr>
          <a:spLocks noChangeAspect="1" noChangeArrowheads="1"/>
        </xdr:cNvSpPr>
      </xdr:nvSpPr>
      <xdr:spPr bwMode="auto">
        <a:xfrm>
          <a:off x="54102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E810-1497-4C72-9A83-EAB6BA2F88A6}">
  <sheetPr>
    <tabColor rgb="FFC00000"/>
  </sheetPr>
  <dimension ref="C3:N35"/>
  <sheetViews>
    <sheetView zoomScale="85" zoomScaleNormal="85" workbookViewId="0">
      <selection activeCell="F8" sqref="F8"/>
    </sheetView>
  </sheetViews>
  <sheetFormatPr defaultColWidth="11.42578125" defaultRowHeight="14.45"/>
  <cols>
    <col min="3" max="3" width="7.7109375" customWidth="1"/>
    <col min="4" max="4" width="55.7109375" customWidth="1"/>
    <col min="5" max="5" width="7.7109375" customWidth="1"/>
    <col min="6" max="6" width="55.7109375" customWidth="1"/>
    <col min="9" max="9" width="12.7109375" customWidth="1"/>
    <col min="10" max="10" width="60.7109375" customWidth="1"/>
    <col min="11" max="11" width="12.7109375" customWidth="1"/>
    <col min="13" max="13" width="60.7109375" customWidth="1"/>
  </cols>
  <sheetData>
    <row r="3" spans="3:14" ht="18">
      <c r="C3" s="90" t="s">
        <v>0</v>
      </c>
      <c r="D3" s="90"/>
      <c r="E3" s="90" t="s">
        <v>1</v>
      </c>
      <c r="F3" s="90"/>
    </row>
    <row r="4" spans="3:14" ht="16.899999999999999" customHeight="1">
      <c r="C4" s="17" t="s">
        <v>2</v>
      </c>
      <c r="D4" s="64" t="s">
        <v>3</v>
      </c>
      <c r="E4" s="17" t="s">
        <v>4</v>
      </c>
      <c r="F4" s="64" t="s">
        <v>5</v>
      </c>
    </row>
    <row r="5" spans="3:14" ht="16.899999999999999" customHeight="1">
      <c r="C5" s="24" t="s">
        <v>6</v>
      </c>
      <c r="D5" s="64" t="s">
        <v>7</v>
      </c>
      <c r="E5" s="17" t="s">
        <v>8</v>
      </c>
      <c r="F5" s="64" t="s">
        <v>9</v>
      </c>
    </row>
    <row r="6" spans="3:14" ht="16.899999999999999" customHeight="1">
      <c r="C6" s="17" t="s">
        <v>10</v>
      </c>
      <c r="D6" s="64" t="s">
        <v>11</v>
      </c>
      <c r="E6" s="17" t="s">
        <v>12</v>
      </c>
      <c r="F6" s="64" t="s">
        <v>13</v>
      </c>
    </row>
    <row r="7" spans="3:14" ht="16.899999999999999" customHeight="1">
      <c r="C7" s="24" t="s">
        <v>14</v>
      </c>
      <c r="D7" s="64" t="s">
        <v>15</v>
      </c>
      <c r="E7" s="17" t="s">
        <v>16</v>
      </c>
      <c r="F7" s="64" t="s">
        <v>17</v>
      </c>
    </row>
    <row r="8" spans="3:14" ht="16.899999999999999" customHeight="1">
      <c r="C8" s="17" t="s">
        <v>18</v>
      </c>
      <c r="D8" s="64" t="s">
        <v>19</v>
      </c>
      <c r="E8" s="17" t="s">
        <v>20</v>
      </c>
      <c r="F8" s="65" t="s">
        <v>21</v>
      </c>
    </row>
    <row r="9" spans="3:14" ht="16.899999999999999" customHeight="1">
      <c r="C9" s="24" t="s">
        <v>22</v>
      </c>
      <c r="D9" s="64" t="s">
        <v>23</v>
      </c>
      <c r="E9" s="17" t="s">
        <v>24</v>
      </c>
      <c r="F9" s="64" t="s">
        <v>25</v>
      </c>
    </row>
    <row r="10" spans="3:14" ht="16.899999999999999" customHeight="1">
      <c r="C10" s="17" t="s">
        <v>26</v>
      </c>
      <c r="D10" s="64" t="s">
        <v>27</v>
      </c>
      <c r="E10" s="17" t="s">
        <v>28</v>
      </c>
      <c r="F10" s="64" t="s">
        <v>29</v>
      </c>
    </row>
    <row r="11" spans="3:14" ht="16.899999999999999" customHeight="1">
      <c r="C11" s="17" t="s">
        <v>30</v>
      </c>
      <c r="D11" s="64" t="s">
        <v>31</v>
      </c>
      <c r="E11" s="17" t="s">
        <v>32</v>
      </c>
      <c r="F11" s="64" t="s">
        <v>33</v>
      </c>
    </row>
    <row r="12" spans="3:14" ht="16.899999999999999" customHeight="1">
      <c r="C12" s="24" t="s">
        <v>34</v>
      </c>
      <c r="D12" s="64" t="s">
        <v>35</v>
      </c>
      <c r="E12" s="17" t="s">
        <v>36</v>
      </c>
      <c r="F12" s="64" t="s">
        <v>37</v>
      </c>
    </row>
    <row r="13" spans="3:14" ht="16.899999999999999" customHeight="1">
      <c r="C13" s="17" t="s">
        <v>38</v>
      </c>
      <c r="D13" s="64" t="s">
        <v>39</v>
      </c>
      <c r="E13" s="17" t="s">
        <v>40</v>
      </c>
      <c r="F13" s="64" t="s">
        <v>41</v>
      </c>
    </row>
    <row r="14" spans="3:14" ht="16.899999999999999" customHeight="1">
      <c r="C14" s="17" t="s">
        <v>42</v>
      </c>
      <c r="D14" s="64" t="s">
        <v>43</v>
      </c>
      <c r="E14" s="17" t="s">
        <v>44</v>
      </c>
      <c r="F14" s="64" t="s">
        <v>45</v>
      </c>
    </row>
    <row r="15" spans="3:14" ht="16.899999999999999" customHeight="1">
      <c r="C15" s="24" t="s">
        <v>46</v>
      </c>
      <c r="D15" s="64" t="s">
        <v>47</v>
      </c>
      <c r="E15" s="17" t="s">
        <v>48</v>
      </c>
      <c r="F15" s="66"/>
    </row>
    <row r="16" spans="3:14" ht="18">
      <c r="C16" s="90" t="s">
        <v>49</v>
      </c>
      <c r="D16" s="90"/>
      <c r="E16" s="90" t="s">
        <v>50</v>
      </c>
      <c r="F16" s="90"/>
      <c r="I16" s="89"/>
      <c r="J16" s="89"/>
      <c r="K16" s="89"/>
      <c r="L16" s="89"/>
      <c r="M16" s="89"/>
      <c r="N16" s="89"/>
    </row>
    <row r="17" spans="3:11" ht="31.15">
      <c r="C17" s="46" t="s">
        <v>51</v>
      </c>
      <c r="D17" s="63" t="s">
        <v>52</v>
      </c>
      <c r="E17" s="17" t="s">
        <v>53</v>
      </c>
      <c r="F17" s="63" t="s">
        <v>54</v>
      </c>
      <c r="I17" s="50"/>
      <c r="J17" s="50"/>
      <c r="K17" s="50"/>
    </row>
    <row r="18" spans="3:11" ht="46.9">
      <c r="C18" s="48" t="s">
        <v>55</v>
      </c>
      <c r="D18" s="63" t="s">
        <v>56</v>
      </c>
      <c r="E18" s="24" t="s">
        <v>57</v>
      </c>
      <c r="F18" s="63" t="s">
        <v>58</v>
      </c>
      <c r="I18" s="60"/>
      <c r="J18" s="61"/>
      <c r="K18" s="61"/>
    </row>
    <row r="19" spans="3:11" ht="31.15">
      <c r="C19" s="46" t="s">
        <v>59</v>
      </c>
      <c r="D19" s="63" t="s">
        <v>60</v>
      </c>
      <c r="E19" s="17" t="s">
        <v>61</v>
      </c>
      <c r="F19" s="63" t="s">
        <v>62</v>
      </c>
      <c r="I19" s="60"/>
      <c r="J19" s="61"/>
      <c r="K19" s="61"/>
    </row>
    <row r="20" spans="3:11" ht="46.9">
      <c r="C20" s="48" t="s">
        <v>63</v>
      </c>
      <c r="D20" s="63" t="s">
        <v>64</v>
      </c>
      <c r="E20" s="24" t="s">
        <v>65</v>
      </c>
      <c r="F20" s="63" t="s">
        <v>66</v>
      </c>
      <c r="I20" s="60"/>
      <c r="J20" s="61"/>
      <c r="K20" s="61"/>
    </row>
    <row r="21" spans="3:11" ht="31.15">
      <c r="C21" s="46" t="s">
        <v>67</v>
      </c>
      <c r="D21" s="63" t="s">
        <v>68</v>
      </c>
      <c r="E21" s="17" t="s">
        <v>69</v>
      </c>
      <c r="F21" s="63" t="s">
        <v>70</v>
      </c>
      <c r="I21" s="60"/>
      <c r="J21" s="61"/>
      <c r="K21" s="61"/>
    </row>
    <row r="22" spans="3:11" ht="31.15">
      <c r="C22" s="48" t="s">
        <v>71</v>
      </c>
      <c r="D22" s="63" t="s">
        <v>72</v>
      </c>
      <c r="E22" s="24" t="s">
        <v>73</v>
      </c>
      <c r="F22" s="63" t="s">
        <v>74</v>
      </c>
      <c r="I22" s="60"/>
      <c r="J22" s="61"/>
      <c r="K22" s="61"/>
    </row>
    <row r="23" spans="3:11" ht="31.15">
      <c r="C23" s="46" t="s">
        <v>75</v>
      </c>
      <c r="D23" s="63" t="s">
        <v>76</v>
      </c>
      <c r="E23" s="24" t="s">
        <v>77</v>
      </c>
      <c r="F23" s="63" t="s">
        <v>78</v>
      </c>
      <c r="I23" s="60"/>
      <c r="J23" s="61"/>
      <c r="K23" s="61"/>
    </row>
    <row r="24" spans="3:11" ht="31.15">
      <c r="C24" s="48" t="s">
        <v>79</v>
      </c>
      <c r="D24" s="63" t="s">
        <v>80</v>
      </c>
      <c r="E24" s="24" t="s">
        <v>81</v>
      </c>
      <c r="F24" s="76" t="s">
        <v>82</v>
      </c>
      <c r="I24" s="60"/>
      <c r="J24" s="61"/>
      <c r="K24" s="61"/>
    </row>
    <row r="25" spans="3:11" ht="31.15">
      <c r="C25" s="46" t="s">
        <v>83</v>
      </c>
      <c r="D25" s="63" t="s">
        <v>84</v>
      </c>
      <c r="E25" s="24" t="s">
        <v>85</v>
      </c>
      <c r="F25" s="49"/>
      <c r="I25" s="60"/>
      <c r="J25" s="61"/>
      <c r="K25" s="61"/>
    </row>
    <row r="26" spans="3:11" ht="31.15">
      <c r="C26" s="48" t="s">
        <v>86</v>
      </c>
      <c r="D26" s="63" t="s">
        <v>87</v>
      </c>
      <c r="E26" s="24" t="s">
        <v>88</v>
      </c>
      <c r="F26" s="49"/>
      <c r="I26" s="60"/>
      <c r="J26" s="61"/>
      <c r="K26" s="61"/>
    </row>
    <row r="27" spans="3:11">
      <c r="C27" s="62"/>
      <c r="D27" s="42"/>
      <c r="I27" s="60"/>
      <c r="J27" s="61"/>
      <c r="K27" s="61"/>
    </row>
    <row r="28" spans="3:11">
      <c r="C28" s="62"/>
      <c r="D28" s="42"/>
      <c r="I28" s="60"/>
      <c r="J28" s="61"/>
      <c r="K28" s="61"/>
    </row>
    <row r="29" spans="3:11">
      <c r="C29" s="62"/>
      <c r="D29" s="42"/>
      <c r="I29" s="60"/>
      <c r="J29" s="61"/>
      <c r="K29" s="61"/>
    </row>
    <row r="30" spans="3:11">
      <c r="C30" s="62"/>
      <c r="D30" s="42"/>
      <c r="I30" s="60"/>
      <c r="J30" s="61"/>
      <c r="K30" s="61"/>
    </row>
    <row r="31" spans="3:11">
      <c r="C31" s="62"/>
      <c r="D31" s="42"/>
      <c r="I31" s="60"/>
      <c r="J31" s="61"/>
      <c r="K31" s="61"/>
    </row>
    <row r="32" spans="3:11">
      <c r="C32" s="62"/>
      <c r="D32" s="42"/>
      <c r="I32" s="60"/>
      <c r="J32" s="61"/>
      <c r="K32" s="61"/>
    </row>
    <row r="33" spans="3:4">
      <c r="C33" s="62"/>
      <c r="D33" s="42"/>
    </row>
    <row r="34" spans="3:4">
      <c r="C34" s="62"/>
      <c r="D34" s="42"/>
    </row>
    <row r="35" spans="3:4">
      <c r="C35" s="62"/>
      <c r="D35" s="42"/>
    </row>
  </sheetData>
  <mergeCells count="6">
    <mergeCell ref="I16:K16"/>
    <mergeCell ref="L16:N16"/>
    <mergeCell ref="C3:D3"/>
    <mergeCell ref="E3:F3"/>
    <mergeCell ref="C16:D16"/>
    <mergeCell ref="E16:F16"/>
  </mergeCells>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4312-D960-45B2-AD02-2EAB1FB648C4}">
  <dimension ref="A1:P34"/>
  <sheetViews>
    <sheetView tabSelected="1" topLeftCell="A3" zoomScale="85" zoomScaleNormal="85" workbookViewId="0">
      <selection activeCell="U15" sqref="U15"/>
    </sheetView>
  </sheetViews>
  <sheetFormatPr defaultColWidth="11.42578125" defaultRowHeight="14.45"/>
  <cols>
    <col min="1" max="1" width="5.7109375" customWidth="1"/>
    <col min="2" max="3" width="5.7109375" style="2" customWidth="1"/>
    <col min="4" max="4" width="4.7109375" style="2" customWidth="1"/>
    <col min="5" max="5" width="55.7109375" customWidth="1"/>
    <col min="6" max="6" width="4.7109375" style="2" customWidth="1"/>
    <col min="7" max="7" width="55.7109375" customWidth="1"/>
    <col min="8" max="8" width="6.42578125" style="1" customWidth="1"/>
    <col min="9" max="9" width="9.42578125" style="1" customWidth="1"/>
    <col min="10" max="10" width="40.7109375" customWidth="1"/>
  </cols>
  <sheetData>
    <row r="1" spans="1:16" s="4" customFormat="1" ht="34.5" customHeight="1">
      <c r="A1" s="3"/>
      <c r="B1" s="91" t="s">
        <v>89</v>
      </c>
      <c r="C1" s="91"/>
      <c r="D1" s="91"/>
      <c r="E1" s="91"/>
      <c r="F1" s="91"/>
      <c r="G1" s="91"/>
      <c r="H1" s="8"/>
      <c r="I1" s="8"/>
      <c r="J1" s="8"/>
      <c r="K1" s="3"/>
      <c r="L1" s="3"/>
      <c r="M1" s="3"/>
      <c r="N1" s="3"/>
      <c r="O1" s="3"/>
      <c r="P1" s="3"/>
    </row>
    <row r="2" spans="1:16" s="4" customFormat="1" ht="18" customHeight="1">
      <c r="A2" s="3"/>
      <c r="B2" s="92" t="s">
        <v>90</v>
      </c>
      <c r="C2" s="92"/>
      <c r="D2" s="92"/>
      <c r="E2" s="92"/>
      <c r="F2" s="92"/>
      <c r="G2" s="92"/>
      <c r="H2" s="9"/>
      <c r="I2" s="9"/>
      <c r="J2" s="9"/>
      <c r="K2" s="3"/>
      <c r="L2" s="3"/>
      <c r="M2" s="3"/>
      <c r="N2" s="3"/>
      <c r="O2" s="3"/>
      <c r="P2" s="3"/>
    </row>
    <row r="3" spans="1:16">
      <c r="A3" s="5"/>
      <c r="B3" s="6"/>
      <c r="C3" s="6"/>
      <c r="D3" s="6"/>
      <c r="E3" s="5"/>
      <c r="F3" s="6"/>
      <c r="G3" s="5"/>
      <c r="H3" s="7"/>
      <c r="I3" s="7"/>
      <c r="J3" s="5"/>
      <c r="K3" s="5"/>
      <c r="L3" s="5"/>
      <c r="M3" s="5"/>
      <c r="N3" s="5"/>
      <c r="O3" s="5"/>
    </row>
    <row r="4" spans="1:16" ht="23.45">
      <c r="A4" s="5"/>
      <c r="B4" s="6"/>
      <c r="C4" s="6"/>
      <c r="D4" s="100" t="s">
        <v>91</v>
      </c>
      <c r="E4" s="100"/>
      <c r="F4" s="100"/>
      <c r="G4" s="100"/>
      <c r="H4" s="7"/>
      <c r="I4" s="7"/>
      <c r="J4" s="5"/>
      <c r="K4" s="5"/>
      <c r="L4" s="5"/>
      <c r="M4" s="5"/>
      <c r="N4" s="5"/>
      <c r="O4" s="5"/>
    </row>
    <row r="5" spans="1:16" ht="18">
      <c r="A5" s="5"/>
      <c r="B5" s="6"/>
      <c r="C5" s="6"/>
      <c r="D5" s="97" t="s">
        <v>49</v>
      </c>
      <c r="E5" s="97"/>
      <c r="F5" s="98" t="s">
        <v>50</v>
      </c>
      <c r="G5" s="99"/>
      <c r="H5" s="7"/>
      <c r="I5" s="7"/>
      <c r="J5" s="5"/>
      <c r="K5" s="5"/>
      <c r="L5" s="5"/>
      <c r="M5" s="5"/>
      <c r="N5" s="5"/>
      <c r="O5" s="5"/>
    </row>
    <row r="6" spans="1:16" ht="43.15">
      <c r="A6" s="5"/>
      <c r="B6" s="96" t="s">
        <v>92</v>
      </c>
      <c r="C6" s="93" t="s">
        <v>0</v>
      </c>
      <c r="D6" s="11" t="s">
        <v>93</v>
      </c>
      <c r="E6" s="19" t="str">
        <f>VLOOKUP(D6,'ESTRATEGIAS FO'!F$5:H21,3,FALSE)</f>
        <v>Potenciar el CRM y la plataforma digital para captar clientes vía redes sociales y automatizar cotizaciones y seguimiento.</v>
      </c>
      <c r="F6" s="34" t="s">
        <v>93</v>
      </c>
      <c r="G6" s="25" t="str">
        <f>VLOOKUP(F6,'ESTRATEGIAS DA'!F$5:H21,3,FALSE)</f>
        <v>Diversificar proveedores y asegurar compras programadas o contratos forward para reducir el impacto del tipo de cambio.</v>
      </c>
      <c r="H6" s="7"/>
      <c r="I6" s="7"/>
      <c r="J6" s="5"/>
      <c r="K6" s="5"/>
      <c r="L6" s="5"/>
      <c r="M6" s="5"/>
      <c r="N6" s="5"/>
      <c r="O6" s="5"/>
    </row>
    <row r="7" spans="1:16" ht="43.15">
      <c r="A7" s="5"/>
      <c r="B7" s="96"/>
      <c r="C7" s="93"/>
      <c r="D7" s="12" t="s">
        <v>94</v>
      </c>
      <c r="E7" s="20" t="str">
        <f>VLOOKUP(D7,'ESTRATEGIAS FO'!F$5:H22,3,FALSE)</f>
        <v>Lanzar una línea que tenga motos y autos compactos siendo respaldada por la fortaleza de marca para atraer al segmento joven.</v>
      </c>
      <c r="F7" s="35" t="s">
        <v>94</v>
      </c>
      <c r="G7" s="28" t="str">
        <f>VLOOKUP(F7,'ESTRATEGIAS DA'!F$5:H22,3,FALSE)</f>
        <v>Negociar contratos de abastecimiento más estables y asegurar acuerdos mínimos para evitar ser desplazados por distribuidores directos.</v>
      </c>
      <c r="H7" s="7"/>
      <c r="I7" s="7"/>
      <c r="J7" s="5"/>
      <c r="K7" s="5"/>
      <c r="L7" s="5"/>
      <c r="M7" s="5"/>
      <c r="N7" s="5"/>
      <c r="O7" s="5"/>
    </row>
    <row r="8" spans="1:16" ht="43.15">
      <c r="A8" s="5"/>
      <c r="B8" s="96"/>
      <c r="C8" s="93"/>
      <c r="D8" s="12" t="s">
        <v>95</v>
      </c>
      <c r="E8" s="20" t="str">
        <f>VLOOKUP(D8,'ESTRATEGIAS FO'!F$5:H23,3,FALSE)</f>
        <v>Introducir modelos híbridos/eléctricos mediante acuerdos internacionales y financiamiento verde para liderar la electromovilidad.</v>
      </c>
      <c r="F8" s="35" t="s">
        <v>95</v>
      </c>
      <c r="G8" s="28" t="str">
        <f>VLOOKUP(F8,'ESTRATEGIAS DA'!F$5:H23,3,FALSE)</f>
        <v>Implementar automatización básica (contable y RR.HH.) para evitar sanciones y sobrecostos por errores manuales.</v>
      </c>
      <c r="H8" s="7"/>
      <c r="I8" s="7"/>
      <c r="J8" s="5"/>
      <c r="K8" s="5"/>
      <c r="L8" s="5"/>
      <c r="M8" s="5"/>
      <c r="N8" s="5"/>
      <c r="O8" s="5"/>
    </row>
    <row r="9" spans="1:16" ht="28.9">
      <c r="A9" s="5"/>
      <c r="B9" s="96"/>
      <c r="C9" s="93"/>
      <c r="D9" s="12" t="s">
        <v>96</v>
      </c>
      <c r="E9" s="20" t="str">
        <f>VLOOKUP(D9,'ESTRATEGIAS FO'!F$5:H24,3,FALSE)</f>
        <v>Garantizar disponibilidad inmediata de SUVs/camionetas mediante logística optimizada, superando tiempos de entrega de la competencia.</v>
      </c>
      <c r="F9" s="35" t="s">
        <v>96</v>
      </c>
      <c r="G9" s="28" t="str">
        <f>VLOOKUP(F9,'ESTRATEGIAS DA'!F$5:H24,3,FALSE)</f>
        <v>Asignar inversión mínima obligatoria para cumplir con tecnología reglamentaria (ABS, airbag), evitando multas y paralización de ventas.</v>
      </c>
      <c r="H9" s="7"/>
      <c r="I9" s="7"/>
      <c r="J9" s="5"/>
      <c r="K9" s="5"/>
      <c r="L9" s="5"/>
      <c r="M9" s="5"/>
      <c r="N9" s="5"/>
      <c r="O9" s="5"/>
    </row>
    <row r="10" spans="1:16" ht="43.15">
      <c r="A10" s="5"/>
      <c r="B10" s="96"/>
      <c r="C10" s="93"/>
      <c r="D10" s="12" t="s">
        <v>97</v>
      </c>
      <c r="E10" s="20" t="str">
        <f>VLOOKUP(D10,'ESTRATEGIAS FO'!F$5:H25,3,FALSE)</f>
        <v>Fortalecer y estandarizar la postventa para cumplir y superar Indecopi, elevando la confianza y fidelización del cliente.</v>
      </c>
      <c r="F10" s="35" t="s">
        <v>97</v>
      </c>
      <c r="G10" s="28" t="str">
        <f>VLOOKUP(F10,'ESTRATEGIAS DA'!F$5:H25,3,FALSE)</f>
        <v>Establecer convenios urgentes con financieras/fintech para evitar caída drástica en ventas por falta de acceso al crédito vehicular.</v>
      </c>
      <c r="H10" s="7"/>
      <c r="I10" s="7"/>
      <c r="J10" s="5"/>
      <c r="K10" s="5"/>
      <c r="L10" s="5"/>
      <c r="M10" s="5"/>
      <c r="N10" s="5"/>
      <c r="O10" s="5"/>
    </row>
    <row r="11" spans="1:16" ht="43.15">
      <c r="A11" s="5"/>
      <c r="B11" s="96"/>
      <c r="C11" s="93"/>
      <c r="D11" s="12" t="s">
        <v>98</v>
      </c>
      <c r="E11" s="20" t="str">
        <f>VLOOKUP(D11,'ESTRATEGIAS FO'!F$5:H26,3,FALSE)</f>
        <v>Crear una linea que  impulse vehículos híbridos/eléctricos, alineados a la preferencia ambiental de segmentos premium.</v>
      </c>
      <c r="F11" s="35" t="s">
        <v>98</v>
      </c>
      <c r="G11" s="28" t="str">
        <f>VLOOKUP(F11,'ESTRATEGIAS DA'!F$5:H26,3,FALSE)</f>
        <v>Ajustar el portafolio eléctrico a modelos híbridos o mild-hybrid que no dependan de cargadores públicos para no perder competitividad.</v>
      </c>
      <c r="H11" s="7"/>
      <c r="I11" s="7"/>
      <c r="J11" s="5"/>
      <c r="K11" s="5"/>
      <c r="L11" s="5"/>
      <c r="M11" s="5"/>
      <c r="N11" s="5"/>
      <c r="O11" s="5"/>
    </row>
    <row r="12" spans="1:16" ht="43.15">
      <c r="A12" s="5"/>
      <c r="B12" s="96"/>
      <c r="C12" s="93"/>
      <c r="D12" s="12" t="s">
        <v>99</v>
      </c>
      <c r="E12" s="20" t="str">
        <f>VLOOKUP(D12,'ESTRATEGIAS FO'!F$5:H27,3,FALSE)</f>
        <v>Ofrecer servicios avanzados de conectividad (telemetría, apps, diagnósticos remotos) gracias al personal técnico especializado.</v>
      </c>
      <c r="F12" s="35" t="s">
        <v>99</v>
      </c>
      <c r="G12" s="28" t="str">
        <f>VLOOKUP(F12,'ESTRATEGIAS DA'!F$5:H27,3,FALSE)</f>
        <v>Implementar un sistema básico de evaluación de desempeño para alinear servicio, tiempos y calidad frente a competidores globales.</v>
      </c>
      <c r="H12" s="7"/>
      <c r="I12" s="7"/>
      <c r="J12" s="5"/>
      <c r="K12" s="5"/>
      <c r="L12" s="5"/>
      <c r="M12" s="5"/>
      <c r="N12" s="5"/>
      <c r="O12" s="5"/>
    </row>
    <row r="13" spans="1:16" ht="45.75">
      <c r="A13" s="5"/>
      <c r="B13" s="96"/>
      <c r="C13" s="93"/>
      <c r="D13" s="12" t="s">
        <v>100</v>
      </c>
      <c r="E13" s="20" t="str">
        <f>VLOOKUP(D13,'ESTRATEGIAS FO'!F$5:H28,3,FALSE)</f>
        <v>Formar la red “Incamotors Network” integrando concesionarios medianos mediante experiencia operativa y procesos consolidados.</v>
      </c>
      <c r="F13" s="35" t="s">
        <v>100</v>
      </c>
      <c r="G13" s="28" t="e">
        <f>VLOOKUP(F13,'ESTRATEGIAS DA'!F$5:H28,3,FALSE)</f>
        <v>#N/A</v>
      </c>
      <c r="H13" s="7"/>
      <c r="I13" s="7"/>
      <c r="J13" s="5"/>
      <c r="K13" s="5"/>
      <c r="L13" s="5"/>
      <c r="M13" s="5"/>
      <c r="N13" s="5"/>
      <c r="O13" s="5"/>
    </row>
    <row r="14" spans="1:16" ht="43.15">
      <c r="A14" s="5"/>
      <c r="B14" s="96"/>
      <c r="C14" s="93"/>
      <c r="D14" s="12" t="s">
        <v>101</v>
      </c>
      <c r="E14" s="20" t="str">
        <f>VLOOKUP(D14,'ESTRATEGIAS FO'!F$5:H29,3,FALSE)</f>
        <v>Implementar IA para personalizar ofertas y mejorar la experiencia del cliente basándose en el historial de satisfacción.</v>
      </c>
      <c r="F14" s="35" t="s">
        <v>101</v>
      </c>
      <c r="G14" s="28" t="e">
        <f>VLOOKUP(F14,'ESTRATEGIAS DA'!F$5:H29,3,FALSE)</f>
        <v>#N/A</v>
      </c>
      <c r="H14" s="7"/>
      <c r="I14" s="7"/>
      <c r="J14" s="5"/>
      <c r="K14" s="5"/>
      <c r="L14" s="5"/>
      <c r="M14" s="5"/>
      <c r="N14" s="5"/>
      <c r="O14" s="5"/>
    </row>
    <row r="15" spans="1:16" ht="43.15">
      <c r="A15" s="5"/>
      <c r="B15" s="96"/>
      <c r="C15" s="94"/>
      <c r="D15" s="13" t="s">
        <v>102</v>
      </c>
      <c r="E15" s="21" t="str">
        <f>VLOOKUP(D15,'ESTRATEGIAS FO'!F$5:H30,3,FALSE)</f>
        <v>Impulsar un portafolio premium de SUVs dirigido a segmentos de mayor valor alineado a la tendencia utilitaria.</v>
      </c>
      <c r="F15" s="36" t="s">
        <v>102</v>
      </c>
      <c r="G15" s="31" t="e">
        <f>VLOOKUP(F15,'ESTRATEGIAS DA'!F$5:H30,3,FALSE)</f>
        <v>#N/A</v>
      </c>
      <c r="H15" s="7"/>
      <c r="I15" s="7"/>
      <c r="J15" s="5"/>
      <c r="K15" s="5"/>
      <c r="L15" s="5"/>
      <c r="M15" s="5"/>
      <c r="N15" s="5"/>
      <c r="O15" s="5"/>
    </row>
    <row r="16" spans="1:16" ht="43.15">
      <c r="A16" s="5"/>
      <c r="B16" s="96"/>
      <c r="C16" s="95" t="s">
        <v>1</v>
      </c>
      <c r="D16" s="14" t="s">
        <v>93</v>
      </c>
      <c r="E16" s="25" t="str">
        <f>VLOOKUP(D16,'ESTRATEGIAS FA'!F5:H21,3,FALSE)</f>
        <v>Reforzar la consolidación de importaciones y la planificación de compras para reducir el impacto del tipo de cambio sobre el costo del vehículo.</v>
      </c>
      <c r="F16" s="26" t="s">
        <v>93</v>
      </c>
      <c r="G16" s="27" t="str">
        <f>VLOOKUP(F6,'ESTRATEGIAS DO'!F$5:H21,3,FALSE)</f>
        <v>Digitalizar y automatizar procesos administrativos y comerciales integrando CRM, ventas online y atención digital.</v>
      </c>
      <c r="H16" s="7"/>
      <c r="I16" s="7"/>
      <c r="J16" s="5"/>
      <c r="K16" s="5"/>
      <c r="L16" s="5"/>
      <c r="M16" s="5"/>
      <c r="N16" s="5"/>
      <c r="O16" s="5"/>
    </row>
    <row r="17" spans="1:15" ht="43.15">
      <c r="A17" s="5"/>
      <c r="B17" s="96"/>
      <c r="C17" s="95"/>
      <c r="D17" s="15" t="s">
        <v>94</v>
      </c>
      <c r="E17" s="28" t="str">
        <f>VLOOKUP(D17,'ESTRATEGIAS FA'!F6:H22,3,FALSE)</f>
        <v>Negociar acuerdos exclusivos y programas de fidelización con marcas aliadas para evitar ser desplazados por canales directos.</v>
      </c>
      <c r="F17" s="29" t="s">
        <v>94</v>
      </c>
      <c r="G17" s="30" t="str">
        <f>VLOOKUP(F7,'ESTRATEGIAS DO'!F$5:H22,3,FALSE)</f>
        <v>Implementar IA para personalizar ofertas, recomendar modelos y automatizar propuestas comerciales.</v>
      </c>
      <c r="H17" s="7"/>
      <c r="I17" s="7"/>
      <c r="J17" s="5"/>
      <c r="K17" s="5"/>
      <c r="L17" s="5"/>
      <c r="M17" s="5"/>
      <c r="N17" s="5"/>
      <c r="O17" s="5"/>
    </row>
    <row r="18" spans="1:15" ht="28.9">
      <c r="A18" s="5"/>
      <c r="B18" s="96"/>
      <c r="C18" s="95"/>
      <c r="D18" s="15" t="s">
        <v>95</v>
      </c>
      <c r="E18" s="28" t="str">
        <f>VLOOKUP(D18,'ESTRATEGIAS FA'!F7:H23,3,FALSE)</f>
        <v>Optimizar productividad técnica mediante especialización y digitalización de procesos para compensar los mayores costos laborales.</v>
      </c>
      <c r="F18" s="29" t="s">
        <v>95</v>
      </c>
      <c r="G18" s="30" t="str">
        <f>VLOOKUP(F8,'ESTRATEGIAS DO'!F$5:H23,3,FALSE)</f>
        <v>Expandir portafolio eco mediante alianzas estratégicas y uso del FONCOER para ingresar al mercado eléctrico.</v>
      </c>
      <c r="H18" s="7"/>
      <c r="I18" s="7"/>
      <c r="J18" s="5"/>
      <c r="K18" s="5"/>
      <c r="L18" s="5"/>
      <c r="M18" s="5"/>
      <c r="N18" s="5"/>
      <c r="O18" s="5"/>
    </row>
    <row r="19" spans="1:15" ht="43.15">
      <c r="A19" s="5"/>
      <c r="B19" s="96"/>
      <c r="C19" s="95"/>
      <c r="D19" s="15" t="s">
        <v>96</v>
      </c>
      <c r="E19" s="28" t="str">
        <f>VLOOKUP(D19,'ESTRATEGIAS FA'!F8:H24,3,FALSE)</f>
        <v>Integrar módulos digitales de seguimiento técnico para asegurar cumplimiento y actualización de tecnologías obligatorias.</v>
      </c>
      <c r="F19" s="29" t="s">
        <v>96</v>
      </c>
      <c r="G19" s="30" t="str">
        <f>VLOOKUP(F9,'ESTRATEGIAS DO'!F$5:H24,3,FALSE)</f>
        <v>Integrarse a redes de concesionarios para compras conjuntas, economías de escala y reducción del riesgo cambiario.</v>
      </c>
      <c r="H19" s="7"/>
      <c r="I19" s="7"/>
      <c r="J19" s="5"/>
      <c r="K19" s="5"/>
      <c r="L19" s="5"/>
      <c r="M19" s="5"/>
      <c r="N19" s="5"/>
      <c r="O19" s="5"/>
    </row>
    <row r="20" spans="1:15" ht="43.15">
      <c r="A20" s="5"/>
      <c r="B20" s="96"/>
      <c r="C20" s="95"/>
      <c r="D20" s="15" t="s">
        <v>97</v>
      </c>
      <c r="E20" s="28" t="str">
        <f>VLOOKUP(D20,'ESTRATEGIAS FA'!F9:H25,3,FALSE)</f>
        <v>Fortalecer procesos de reducción de emisiones y trazabilidad ambiental para minimizar multas y adelantarse a regulaciones.</v>
      </c>
      <c r="F20" s="29" t="s">
        <v>97</v>
      </c>
      <c r="G20" s="30" t="str">
        <f>VLOOKUP(F10,'ESTRATEGIAS DO'!F$5:H25,3,FALSE)</f>
        <v>Establecer convenios con financieras/fintech para ofrecer créditos accesibles a jóvenes (autos compactos, motos).</v>
      </c>
      <c r="H20" s="7"/>
      <c r="I20" s="7"/>
      <c r="J20" s="5"/>
      <c r="K20" s="5"/>
      <c r="L20" s="5"/>
      <c r="M20" s="5"/>
      <c r="N20" s="5"/>
      <c r="O20" s="5"/>
    </row>
    <row r="21" spans="1:15" ht="43.15">
      <c r="A21" s="5"/>
      <c r="B21" s="96"/>
      <c r="C21" s="95"/>
      <c r="D21" s="15" t="s">
        <v>98</v>
      </c>
      <c r="E21" s="28" t="str">
        <f>VLOOKUP(D21,'ESTRATEGIAS FA'!F10:H26,3,FALSE)</f>
        <v>Diferenciar el portafolio con paquetes de valor, servicio boutique y garantías premium para competir frente a marcas de mayor prestigio.</v>
      </c>
      <c r="F21" s="29" t="s">
        <v>98</v>
      </c>
      <c r="G21" s="30" t="str">
        <f>VLOOKUP(F11,'ESTRATEGIAS DO'!F$5:H26,3,FALSE)</f>
        <v>Expandirse a regiones estratégicas con showrooms móviles y alianzas locales para captar demanda creciente.</v>
      </c>
      <c r="H21" s="7"/>
      <c r="I21" s="7"/>
      <c r="J21" s="5"/>
      <c r="K21" s="5"/>
      <c r="L21" s="5"/>
      <c r="M21" s="5"/>
      <c r="N21" s="5"/>
      <c r="O21" s="5"/>
    </row>
    <row r="22" spans="1:15" ht="43.15">
      <c r="A22" s="5"/>
      <c r="B22" s="96"/>
      <c r="C22" s="95"/>
      <c r="D22" s="15" t="s">
        <v>99</v>
      </c>
      <c r="E22" s="28" t="str">
        <f>VLOOKUP(D22,'ESTRATEGIAS FA'!F11:H27,3,FALSE)</f>
        <v>Incentivar la compra mediante beneficios postventa (mantenimientos incluidos, garantías extendidas) para compensar la barrera del crédito.</v>
      </c>
      <c r="F22" s="29" t="s">
        <v>99</v>
      </c>
      <c r="G22" s="30" t="str">
        <f>VLOOKUP(F12,'ESTRATEGIAS DO'!F$5:H27,3,FALSE)</f>
        <v>Invertir en soluciones de conectividad y servicios digitales asociados a vehículos conectados.</v>
      </c>
      <c r="H22" s="7"/>
      <c r="I22" s="7"/>
      <c r="J22" s="5"/>
      <c r="K22" s="5"/>
      <c r="L22" s="5"/>
      <c r="M22" s="5"/>
      <c r="N22" s="5"/>
      <c r="O22" s="5"/>
    </row>
    <row r="23" spans="1:15" ht="28.9">
      <c r="A23" s="5"/>
      <c r="B23" s="96"/>
      <c r="C23" s="95"/>
      <c r="D23" s="15" t="s">
        <v>100</v>
      </c>
      <c r="E23" s="28">
        <f>VLOOKUP(D23,'ESTRATEGIAS FA'!F12:H28,3,FALSE)</f>
        <v>0</v>
      </c>
      <c r="F23" s="29" t="s">
        <v>100</v>
      </c>
      <c r="G23" s="30" t="str">
        <f>VLOOKUP(F13,'ESTRATEGIAS DO'!F$5:H28,3,FALSE)</f>
        <v>Ingresar al mercado corporativo/estatal aprovechando que los altos requisitos excluyen a nuevos competidores.</v>
      </c>
      <c r="H23" s="7"/>
      <c r="I23" s="7"/>
      <c r="J23" s="5"/>
      <c r="K23" s="5"/>
      <c r="L23" s="5"/>
      <c r="M23" s="5"/>
      <c r="N23" s="5"/>
      <c r="O23" s="5"/>
    </row>
    <row r="24" spans="1:15" ht="15">
      <c r="A24" s="5"/>
      <c r="B24" s="96"/>
      <c r="C24" s="95"/>
      <c r="D24" s="15" t="s">
        <v>101</v>
      </c>
      <c r="E24" s="28">
        <f>VLOOKUP(D24,'ESTRATEGIAS FA'!F13:H29,3,FALSE)</f>
        <v>0</v>
      </c>
      <c r="F24" s="29" t="s">
        <v>101</v>
      </c>
      <c r="G24" s="30">
        <f>VLOOKUP(F14,'ESTRATEGIAS DO'!F$5:H29,3,FALSE)</f>
        <v>0</v>
      </c>
      <c r="H24" s="7"/>
      <c r="I24" s="7"/>
      <c r="J24" s="5"/>
      <c r="K24" s="5"/>
      <c r="L24" s="5"/>
      <c r="M24" s="5"/>
      <c r="N24" s="5"/>
      <c r="O24" s="5"/>
    </row>
    <row r="25" spans="1:15" ht="43.15">
      <c r="A25" s="5"/>
      <c r="B25" s="96"/>
      <c r="C25" s="95"/>
      <c r="D25" s="16" t="s">
        <v>102</v>
      </c>
      <c r="E25" s="31">
        <f>VLOOKUP(D25,'ESTRATEGIAS FA'!F14:H30,3,FALSE)</f>
        <v>0</v>
      </c>
      <c r="F25" s="32" t="s">
        <v>102</v>
      </c>
      <c r="G25" s="33">
        <f>VLOOKUP(F15,'ESTRATEGIAS DO'!F$5:H30,3,FALSE)</f>
        <v>0</v>
      </c>
      <c r="H25" s="7"/>
      <c r="I25" s="7"/>
      <c r="J25" s="5"/>
      <c r="K25" s="5"/>
      <c r="L25" s="5"/>
      <c r="M25" s="5"/>
      <c r="N25" s="5"/>
      <c r="O25" s="5"/>
    </row>
    <row r="26" spans="1:15">
      <c r="A26" s="5"/>
      <c r="B26" s="6"/>
      <c r="C26" s="6"/>
      <c r="D26" s="6"/>
      <c r="E26" s="5"/>
      <c r="F26" s="6"/>
      <c r="G26" s="5"/>
      <c r="H26" s="7"/>
      <c r="I26" s="7"/>
      <c r="J26" s="5"/>
      <c r="K26" s="5"/>
      <c r="L26" s="5"/>
      <c r="M26" s="5"/>
      <c r="N26" s="5"/>
      <c r="O26" s="5"/>
    </row>
    <row r="27" spans="1:15">
      <c r="A27" s="5"/>
      <c r="B27" s="6"/>
      <c r="C27" s="6"/>
      <c r="D27" s="6"/>
      <c r="E27" s="5"/>
      <c r="F27" s="6"/>
      <c r="G27" s="5"/>
      <c r="H27" s="7"/>
      <c r="I27" s="7"/>
      <c r="J27" s="5"/>
      <c r="K27" s="5"/>
      <c r="L27" s="5"/>
      <c r="M27" s="5"/>
      <c r="N27" s="5"/>
      <c r="O27" s="5"/>
    </row>
    <row r="28" spans="1:15">
      <c r="A28" s="5"/>
      <c r="B28" s="6"/>
      <c r="C28" s="6"/>
      <c r="D28" s="6"/>
      <c r="E28" s="5"/>
      <c r="F28" s="6"/>
      <c r="G28" s="5"/>
      <c r="H28" s="7"/>
      <c r="I28" s="7"/>
      <c r="J28" s="5"/>
      <c r="K28" s="5"/>
      <c r="L28" s="5"/>
      <c r="M28" s="5"/>
      <c r="N28" s="5"/>
      <c r="O28" s="5"/>
    </row>
    <row r="29" spans="1:15">
      <c r="A29" s="5"/>
      <c r="B29" s="6"/>
      <c r="C29" s="6"/>
      <c r="D29" s="6"/>
      <c r="E29" s="5"/>
      <c r="F29" s="6"/>
      <c r="G29" s="5"/>
      <c r="H29" s="7"/>
      <c r="I29" s="7"/>
      <c r="J29" s="5"/>
      <c r="K29" s="5"/>
      <c r="L29" s="5"/>
      <c r="M29" s="5"/>
      <c r="N29" s="5"/>
      <c r="O29" s="5"/>
    </row>
    <row r="30" spans="1:15">
      <c r="A30" s="5"/>
      <c r="B30" s="6"/>
      <c r="C30" s="6"/>
      <c r="D30" s="6"/>
      <c r="E30" s="5"/>
      <c r="F30" s="6"/>
      <c r="G30" s="5"/>
      <c r="H30" s="7"/>
      <c r="I30" s="7"/>
      <c r="J30" s="5"/>
      <c r="K30" s="5"/>
      <c r="L30" s="5"/>
      <c r="M30" s="5"/>
      <c r="N30" s="5"/>
      <c r="O30" s="5"/>
    </row>
    <row r="31" spans="1:15">
      <c r="A31" s="5"/>
      <c r="B31" s="6"/>
      <c r="C31" s="6"/>
      <c r="D31" s="6"/>
      <c r="E31" s="5"/>
      <c r="F31" s="6"/>
      <c r="G31" s="5"/>
      <c r="H31" s="7"/>
      <c r="I31" s="7"/>
      <c r="J31" s="5"/>
      <c r="K31" s="5"/>
      <c r="L31" s="5"/>
      <c r="M31" s="5"/>
      <c r="N31" s="5"/>
      <c r="O31" s="5"/>
    </row>
    <row r="32" spans="1:15">
      <c r="A32" s="5"/>
      <c r="B32" s="6"/>
      <c r="C32" s="6"/>
      <c r="D32" s="6"/>
      <c r="E32" s="5"/>
      <c r="F32" s="6"/>
      <c r="G32" s="5"/>
      <c r="H32" s="7"/>
      <c r="I32" s="7"/>
      <c r="J32" s="5"/>
      <c r="K32" s="5"/>
      <c r="L32" s="5"/>
      <c r="M32" s="5"/>
      <c r="N32" s="5"/>
      <c r="O32" s="5"/>
    </row>
    <row r="33" spans="1:15">
      <c r="A33" s="5"/>
      <c r="B33" s="6"/>
      <c r="C33" s="6"/>
      <c r="D33" s="6"/>
      <c r="E33" s="5"/>
      <c r="F33" s="6"/>
      <c r="G33" s="5"/>
      <c r="H33" s="7"/>
      <c r="I33" s="7"/>
      <c r="J33" s="5"/>
      <c r="K33" s="5"/>
      <c r="L33" s="5"/>
      <c r="M33" s="5"/>
      <c r="N33" s="5"/>
      <c r="O33" s="5"/>
    </row>
    <row r="34" spans="1:15">
      <c r="B34" s="6"/>
      <c r="C34" s="6"/>
      <c r="D34" s="6"/>
      <c r="E34" s="5"/>
      <c r="F34" s="6"/>
      <c r="G34" s="5"/>
      <c r="H34" s="7"/>
      <c r="I34" s="7"/>
      <c r="J34" s="5"/>
      <c r="K34" s="5"/>
      <c r="L34" s="5"/>
      <c r="M34" s="5"/>
      <c r="N34" s="5"/>
      <c r="O34" s="5"/>
    </row>
  </sheetData>
  <mergeCells count="8">
    <mergeCell ref="B1:G1"/>
    <mergeCell ref="B2:G2"/>
    <mergeCell ref="C6:C15"/>
    <mergeCell ref="C16:C25"/>
    <mergeCell ref="B6:B25"/>
    <mergeCell ref="D5:E5"/>
    <mergeCell ref="F5:G5"/>
    <mergeCell ref="D4:G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E8DB-3387-4CBC-91FE-7791682F30AA}">
  <sheetPr>
    <tabColor theme="4" tint="-0.249977111117893"/>
  </sheetPr>
  <dimension ref="A1:N32"/>
  <sheetViews>
    <sheetView zoomScale="70" zoomScaleNormal="70" workbookViewId="0">
      <selection activeCell="H14" sqref="H14"/>
    </sheetView>
  </sheetViews>
  <sheetFormatPr defaultColWidth="11.42578125" defaultRowHeight="14.45"/>
  <cols>
    <col min="1" max="1" width="5.7109375" customWidth="1"/>
    <col min="2" max="2" width="5.7109375" style="2" customWidth="1"/>
    <col min="3" max="3" width="51.85546875" customWidth="1"/>
    <col min="4" max="4" width="5.7109375" style="2" customWidth="1"/>
    <col min="5" max="5" width="52.7109375" customWidth="1"/>
    <col min="6" max="6" width="6.42578125" style="1" customWidth="1"/>
    <col min="7" max="7" width="9.42578125" style="2" customWidth="1"/>
    <col min="8" max="8" width="70.7109375" customWidth="1"/>
  </cols>
  <sheetData>
    <row r="1" spans="1:14" s="4" customFormat="1" ht="34.5" customHeight="1">
      <c r="A1" s="3"/>
      <c r="B1" s="91" t="s">
        <v>103</v>
      </c>
      <c r="C1" s="91"/>
      <c r="D1" s="91"/>
      <c r="E1" s="91"/>
      <c r="F1" s="91"/>
      <c r="G1" s="91"/>
      <c r="H1" s="91"/>
      <c r="I1" s="3"/>
      <c r="J1" s="3"/>
      <c r="K1" s="3"/>
      <c r="L1" s="3"/>
      <c r="M1" s="3"/>
      <c r="N1" s="3"/>
    </row>
    <row r="2" spans="1:14" s="4" customFormat="1" ht="18" customHeight="1">
      <c r="A2" s="3"/>
      <c r="B2" s="92" t="s">
        <v>104</v>
      </c>
      <c r="C2" s="102"/>
      <c r="D2" s="102"/>
      <c r="E2" s="102"/>
      <c r="F2" s="102"/>
      <c r="G2" s="102"/>
      <c r="H2" s="102"/>
      <c r="I2" s="3"/>
      <c r="J2" s="3"/>
      <c r="K2" s="3"/>
      <c r="L2" s="3"/>
      <c r="M2" s="3"/>
      <c r="N2" s="3"/>
    </row>
    <row r="3" spans="1:14">
      <c r="A3" s="5"/>
      <c r="B3" s="6"/>
      <c r="C3" s="5"/>
      <c r="D3" s="6"/>
      <c r="E3" s="5"/>
      <c r="F3" s="7"/>
      <c r="G3" s="6"/>
      <c r="H3" s="5"/>
      <c r="I3" s="5"/>
      <c r="J3" s="5"/>
      <c r="K3" s="5"/>
      <c r="L3" s="5"/>
      <c r="M3" s="5"/>
    </row>
    <row r="4" spans="1:14">
      <c r="A4" s="5"/>
      <c r="B4" s="101" t="s">
        <v>0</v>
      </c>
      <c r="C4" s="101"/>
      <c r="D4" s="101" t="s">
        <v>49</v>
      </c>
      <c r="E4" s="101"/>
      <c r="F4" s="73" t="s">
        <v>105</v>
      </c>
      <c r="G4" s="101" t="s">
        <v>106</v>
      </c>
      <c r="H4" s="101"/>
      <c r="I4" s="5"/>
      <c r="J4" s="5"/>
      <c r="K4" s="5"/>
      <c r="L4" s="5"/>
      <c r="M4" s="5"/>
    </row>
    <row r="5" spans="1:14" ht="40.15" customHeight="1">
      <c r="A5" s="5"/>
      <c r="B5" s="17" t="s">
        <v>2</v>
      </c>
      <c r="C5" s="68" t="s">
        <v>3</v>
      </c>
      <c r="D5" s="17" t="s">
        <v>51</v>
      </c>
      <c r="E5" s="77" t="s">
        <v>52</v>
      </c>
      <c r="F5" s="18" t="s">
        <v>93</v>
      </c>
      <c r="G5" s="51" t="s">
        <v>107</v>
      </c>
      <c r="H5" s="52" t="s">
        <v>108</v>
      </c>
      <c r="I5" s="5"/>
      <c r="J5" s="5"/>
      <c r="K5" s="5"/>
      <c r="L5" s="5"/>
      <c r="M5" s="5"/>
    </row>
    <row r="6" spans="1:14" ht="40.15" customHeight="1">
      <c r="A6" s="5"/>
      <c r="B6" s="24" t="s">
        <v>6</v>
      </c>
      <c r="C6" s="68" t="s">
        <v>7</v>
      </c>
      <c r="D6" s="24" t="s">
        <v>55</v>
      </c>
      <c r="E6" s="77" t="s">
        <v>56</v>
      </c>
      <c r="F6" s="18" t="s">
        <v>94</v>
      </c>
      <c r="G6" s="51" t="s">
        <v>109</v>
      </c>
      <c r="H6" s="52" t="s">
        <v>110</v>
      </c>
      <c r="I6" s="5"/>
      <c r="J6" s="5"/>
      <c r="K6" s="5"/>
      <c r="L6" s="5"/>
      <c r="M6" s="5"/>
    </row>
    <row r="7" spans="1:14" ht="40.15" customHeight="1">
      <c r="A7" s="5"/>
      <c r="B7" s="17" t="s">
        <v>10</v>
      </c>
      <c r="C7" s="68" t="s">
        <v>11</v>
      </c>
      <c r="D7" s="17" t="s">
        <v>59</v>
      </c>
      <c r="E7" s="77" t="s">
        <v>60</v>
      </c>
      <c r="F7" s="18" t="s">
        <v>95</v>
      </c>
      <c r="G7" s="51" t="s">
        <v>111</v>
      </c>
      <c r="H7" s="52" t="s">
        <v>112</v>
      </c>
      <c r="I7" s="5"/>
      <c r="J7" s="5"/>
      <c r="K7" s="5"/>
      <c r="L7" s="5"/>
      <c r="M7" s="5"/>
    </row>
    <row r="8" spans="1:14" ht="40.15" customHeight="1">
      <c r="A8" s="5"/>
      <c r="B8" s="24" t="s">
        <v>14</v>
      </c>
      <c r="C8" s="68" t="s">
        <v>15</v>
      </c>
      <c r="D8" s="24" t="s">
        <v>63</v>
      </c>
      <c r="E8" s="77" t="s">
        <v>64</v>
      </c>
      <c r="F8" s="18" t="s">
        <v>96</v>
      </c>
      <c r="G8" s="51" t="s">
        <v>113</v>
      </c>
      <c r="H8" s="52" t="s">
        <v>114</v>
      </c>
      <c r="I8" s="5"/>
      <c r="J8" s="5"/>
      <c r="K8" s="5"/>
      <c r="L8" s="5"/>
      <c r="M8" s="5"/>
    </row>
    <row r="9" spans="1:14" ht="40.15" customHeight="1">
      <c r="A9" s="5"/>
      <c r="B9" s="17" t="s">
        <v>18</v>
      </c>
      <c r="C9" s="68" t="s">
        <v>19</v>
      </c>
      <c r="D9" s="17" t="s">
        <v>67</v>
      </c>
      <c r="E9" s="77" t="s">
        <v>68</v>
      </c>
      <c r="F9" s="18" t="s">
        <v>97</v>
      </c>
      <c r="G9" s="51" t="s">
        <v>115</v>
      </c>
      <c r="H9" s="52" t="s">
        <v>116</v>
      </c>
      <c r="I9" s="5"/>
      <c r="J9" s="5"/>
      <c r="K9" s="5"/>
      <c r="L9" s="5"/>
      <c r="M9" s="5"/>
    </row>
    <row r="10" spans="1:14" ht="40.15" customHeight="1">
      <c r="A10" s="5"/>
      <c r="B10" s="24" t="s">
        <v>22</v>
      </c>
      <c r="C10" s="68" t="s">
        <v>23</v>
      </c>
      <c r="D10" s="24" t="s">
        <v>71</v>
      </c>
      <c r="E10" s="77" t="s">
        <v>72</v>
      </c>
      <c r="F10" s="18" t="s">
        <v>98</v>
      </c>
      <c r="G10" s="51" t="s">
        <v>117</v>
      </c>
      <c r="H10" s="52" t="s">
        <v>118</v>
      </c>
      <c r="I10" s="5"/>
      <c r="J10" s="5"/>
      <c r="K10" s="5"/>
      <c r="L10" s="5"/>
      <c r="M10" s="5"/>
    </row>
    <row r="11" spans="1:14" ht="40.15" customHeight="1">
      <c r="A11" s="5"/>
      <c r="B11" s="17" t="s">
        <v>26</v>
      </c>
      <c r="C11" s="68" t="s">
        <v>27</v>
      </c>
      <c r="D11" s="17" t="s">
        <v>75</v>
      </c>
      <c r="E11" s="68" t="s">
        <v>76</v>
      </c>
      <c r="F11" s="18" t="s">
        <v>99</v>
      </c>
      <c r="G11" s="51" t="s">
        <v>119</v>
      </c>
      <c r="H11" s="52" t="s">
        <v>120</v>
      </c>
      <c r="I11" s="5"/>
      <c r="J11" s="5"/>
      <c r="K11" s="5"/>
      <c r="L11" s="5"/>
      <c r="M11" s="5"/>
    </row>
    <row r="12" spans="1:14" ht="40.15" customHeight="1">
      <c r="A12" s="5"/>
      <c r="B12" s="24" t="s">
        <v>30</v>
      </c>
      <c r="C12" s="68" t="s">
        <v>31</v>
      </c>
      <c r="D12" s="24" t="s">
        <v>79</v>
      </c>
      <c r="E12" s="77" t="s">
        <v>80</v>
      </c>
      <c r="F12" s="18" t="s">
        <v>100</v>
      </c>
      <c r="G12" s="51" t="s">
        <v>121</v>
      </c>
      <c r="H12" s="52" t="s">
        <v>122</v>
      </c>
      <c r="I12" s="5"/>
      <c r="J12" s="5"/>
      <c r="K12" s="5"/>
      <c r="L12" s="5"/>
      <c r="M12" s="5"/>
    </row>
    <row r="13" spans="1:14" ht="40.15" customHeight="1">
      <c r="A13" s="5"/>
      <c r="B13" s="24" t="s">
        <v>34</v>
      </c>
      <c r="C13" s="68" t="s">
        <v>35</v>
      </c>
      <c r="D13" s="17" t="s">
        <v>83</v>
      </c>
      <c r="E13" s="77" t="s">
        <v>84</v>
      </c>
      <c r="F13" s="18" t="s">
        <v>101</v>
      </c>
      <c r="G13" s="51" t="s">
        <v>123</v>
      </c>
      <c r="H13" s="52" t="s">
        <v>124</v>
      </c>
      <c r="I13" s="5"/>
      <c r="J13" s="5"/>
      <c r="K13" s="5"/>
      <c r="L13" s="5"/>
      <c r="M13" s="5"/>
    </row>
    <row r="14" spans="1:14" ht="40.15" customHeight="1">
      <c r="A14" s="5"/>
      <c r="B14" s="24" t="s">
        <v>38</v>
      </c>
      <c r="C14" s="68" t="s">
        <v>39</v>
      </c>
      <c r="D14" s="24" t="s">
        <v>86</v>
      </c>
      <c r="E14" s="77" t="s">
        <v>87</v>
      </c>
      <c r="F14" s="18" t="s">
        <v>102</v>
      </c>
      <c r="G14" s="51" t="s">
        <v>125</v>
      </c>
      <c r="H14" s="52" t="s">
        <v>126</v>
      </c>
      <c r="I14" s="5"/>
      <c r="J14" s="5"/>
      <c r="K14" s="5"/>
      <c r="L14" s="5"/>
      <c r="M14" s="5"/>
    </row>
    <row r="15" spans="1:14" ht="40.15" customHeight="1">
      <c r="A15" s="5"/>
      <c r="B15" s="24" t="s">
        <v>42</v>
      </c>
      <c r="C15" s="68" t="s">
        <v>43</v>
      </c>
      <c r="D15" s="17" t="s">
        <v>127</v>
      </c>
      <c r="E15" s="23"/>
      <c r="F15" s="18"/>
      <c r="G15" s="74"/>
      <c r="H15" s="75"/>
      <c r="I15" s="5"/>
      <c r="J15" s="5"/>
      <c r="K15" s="5"/>
      <c r="L15" s="5"/>
      <c r="M15" s="5"/>
    </row>
    <row r="16" spans="1:14" ht="40.15" customHeight="1">
      <c r="A16" s="5"/>
      <c r="B16" s="24" t="s">
        <v>46</v>
      </c>
      <c r="C16" s="68" t="s">
        <v>47</v>
      </c>
      <c r="D16" s="17" t="s">
        <v>128</v>
      </c>
      <c r="E16" s="23"/>
      <c r="F16" s="18"/>
      <c r="G16" s="74"/>
      <c r="H16" s="75"/>
      <c r="I16" s="5"/>
      <c r="J16" s="5"/>
      <c r="K16" s="5"/>
      <c r="L16" s="5"/>
      <c r="M16" s="5"/>
    </row>
    <row r="17" spans="1:13">
      <c r="A17" s="5"/>
      <c r="D17" s="39"/>
      <c r="E17" s="42"/>
      <c r="F17" s="10"/>
      <c r="H17" s="45"/>
      <c r="I17" s="5"/>
      <c r="J17" s="5"/>
      <c r="K17" s="5"/>
      <c r="L17" s="5"/>
      <c r="M17" s="5"/>
    </row>
    <row r="18" spans="1:13">
      <c r="A18" s="5"/>
      <c r="D18" s="39"/>
      <c r="E18" s="42"/>
      <c r="F18" s="10"/>
      <c r="H18" s="45"/>
      <c r="I18" s="5"/>
      <c r="J18" s="5"/>
      <c r="K18" s="5"/>
      <c r="L18" s="5"/>
      <c r="M18" s="5"/>
    </row>
    <row r="19" spans="1:13">
      <c r="A19" s="5"/>
      <c r="D19" s="39"/>
      <c r="E19" s="42"/>
      <c r="F19" s="10"/>
      <c r="H19" s="45"/>
      <c r="I19" s="5"/>
      <c r="J19" s="5"/>
      <c r="K19" s="5"/>
      <c r="L19" s="5"/>
      <c r="M19" s="5"/>
    </row>
    <row r="20" spans="1:13">
      <c r="A20" s="5"/>
      <c r="D20" s="39"/>
      <c r="E20" s="42"/>
      <c r="F20" s="10"/>
      <c r="H20" s="45"/>
      <c r="I20" s="5"/>
      <c r="J20" s="5"/>
      <c r="K20" s="5"/>
      <c r="L20" s="5"/>
      <c r="M20" s="5"/>
    </row>
    <row r="21" spans="1:13">
      <c r="A21" s="5"/>
      <c r="D21" s="39"/>
      <c r="E21" s="42"/>
      <c r="F21" s="10"/>
      <c r="H21" s="45"/>
      <c r="I21" s="5"/>
      <c r="J21" s="5"/>
      <c r="K21" s="5"/>
      <c r="L21" s="5"/>
      <c r="M21" s="5"/>
    </row>
    <row r="22" spans="1:13">
      <c r="A22" s="5"/>
      <c r="B22" s="6"/>
      <c r="C22" s="5"/>
      <c r="D22" s="39"/>
      <c r="E22" s="42"/>
      <c r="F22" s="7"/>
      <c r="G22" s="6"/>
      <c r="H22" s="5"/>
      <c r="I22" s="5"/>
      <c r="J22" s="5"/>
      <c r="K22" s="5"/>
      <c r="L22" s="5"/>
      <c r="M22" s="5"/>
    </row>
    <row r="23" spans="1:13">
      <c r="A23" s="5"/>
      <c r="B23" s="6"/>
      <c r="C23" s="5"/>
      <c r="D23" s="39"/>
      <c r="E23" s="42"/>
      <c r="F23" s="7"/>
      <c r="G23" s="6"/>
      <c r="H23" s="5"/>
      <c r="I23" s="5"/>
      <c r="J23" s="5"/>
      <c r="K23" s="5"/>
      <c r="L23" s="5"/>
      <c r="M23" s="5"/>
    </row>
    <row r="24" spans="1:13">
      <c r="A24" s="5"/>
      <c r="B24" s="6"/>
      <c r="C24" s="5"/>
      <c r="D24" s="39"/>
      <c r="E24" s="44"/>
      <c r="F24" s="7"/>
      <c r="G24" s="6"/>
      <c r="H24" s="5"/>
      <c r="I24" s="5"/>
      <c r="J24" s="5"/>
      <c r="K24" s="5"/>
      <c r="L24" s="5"/>
      <c r="M24" s="5"/>
    </row>
    <row r="25" spans="1:13">
      <c r="A25" s="5"/>
      <c r="B25" s="6"/>
      <c r="C25" s="5"/>
      <c r="D25" s="39"/>
      <c r="E25" s="44"/>
      <c r="F25" s="7"/>
      <c r="G25" s="6"/>
      <c r="H25" s="5"/>
      <c r="I25" s="5"/>
      <c r="J25" s="5"/>
      <c r="K25" s="5"/>
      <c r="L25" s="5"/>
      <c r="M25" s="5"/>
    </row>
    <row r="26" spans="1:13">
      <c r="A26" s="5"/>
      <c r="B26" s="6"/>
      <c r="C26" s="5"/>
      <c r="D26" s="39"/>
      <c r="E26" s="44"/>
      <c r="F26" s="7"/>
      <c r="G26" s="6"/>
      <c r="H26" s="5"/>
      <c r="I26" s="5"/>
      <c r="J26" s="5"/>
      <c r="K26" s="5"/>
      <c r="L26" s="5"/>
      <c r="M26" s="5"/>
    </row>
    <row r="27" spans="1:13">
      <c r="A27" s="5"/>
      <c r="B27" s="6"/>
      <c r="C27" s="5"/>
      <c r="D27" s="39"/>
      <c r="E27" s="44"/>
      <c r="F27" s="7"/>
      <c r="G27" s="6"/>
      <c r="H27" s="5"/>
      <c r="I27" s="5"/>
      <c r="J27" s="5"/>
      <c r="K27" s="5"/>
      <c r="L27" s="5"/>
      <c r="M27" s="5"/>
    </row>
    <row r="28" spans="1:13">
      <c r="A28" s="5"/>
      <c r="B28" s="6"/>
      <c r="C28" s="5"/>
      <c r="D28" s="39"/>
      <c r="E28" s="44"/>
      <c r="F28" s="7"/>
      <c r="G28" s="6"/>
      <c r="H28" s="5"/>
      <c r="I28" s="5"/>
      <c r="J28" s="5"/>
      <c r="K28" s="5"/>
      <c r="L28" s="5"/>
      <c r="M28" s="5"/>
    </row>
    <row r="29" spans="1:13">
      <c r="A29" s="5"/>
      <c r="B29" s="6"/>
      <c r="C29" s="5"/>
      <c r="D29" s="39"/>
      <c r="E29" s="44"/>
      <c r="F29" s="7"/>
      <c r="G29" s="6"/>
      <c r="H29" s="5"/>
      <c r="I29" s="5"/>
      <c r="J29" s="5"/>
      <c r="K29" s="5"/>
      <c r="L29" s="5"/>
      <c r="M29" s="5"/>
    </row>
    <row r="30" spans="1:13">
      <c r="A30" s="5"/>
      <c r="B30" s="6"/>
      <c r="C30" s="5"/>
      <c r="D30" s="39"/>
      <c r="E30" s="44"/>
      <c r="F30" s="7"/>
      <c r="G30" s="6"/>
      <c r="H30" s="5"/>
      <c r="I30" s="5"/>
      <c r="J30" s="5"/>
      <c r="K30" s="5"/>
      <c r="L30" s="5"/>
      <c r="M30" s="5"/>
    </row>
    <row r="31" spans="1:13">
      <c r="B31" s="6"/>
      <c r="C31" s="5"/>
      <c r="D31" s="39"/>
      <c r="E31" s="44"/>
      <c r="F31" s="7"/>
      <c r="G31" s="6"/>
      <c r="H31" s="5"/>
      <c r="I31" s="5"/>
      <c r="J31" s="5"/>
      <c r="K31" s="5"/>
      <c r="L31" s="5"/>
      <c r="M31" s="5"/>
    </row>
    <row r="32" spans="1:13">
      <c r="D32" s="39"/>
      <c r="E32" s="44"/>
    </row>
  </sheetData>
  <mergeCells count="5">
    <mergeCell ref="B4:C4"/>
    <mergeCell ref="D4:E4"/>
    <mergeCell ref="G4:H4"/>
    <mergeCell ref="B1:H1"/>
    <mergeCell ref="B2:H2"/>
  </mergeCells>
  <phoneticPr fontId="1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4E3F-692A-4E4E-905C-3D177E99A5B1}">
  <sheetPr>
    <tabColor theme="4" tint="0.39997558519241921"/>
  </sheetPr>
  <dimension ref="A1:O36"/>
  <sheetViews>
    <sheetView topLeftCell="D3" zoomScale="85" zoomScaleNormal="85" workbookViewId="0">
      <selection activeCell="H11" sqref="H11"/>
    </sheetView>
  </sheetViews>
  <sheetFormatPr defaultColWidth="11.42578125" defaultRowHeight="14.45"/>
  <cols>
    <col min="1" max="1" width="5.7109375" customWidth="1"/>
    <col min="2" max="2" width="5.7109375" style="2" customWidth="1"/>
    <col min="3" max="3" width="45.7109375" customWidth="1"/>
    <col min="4" max="4" width="5.7109375" style="2" customWidth="1"/>
    <col min="5" max="5" width="66.7109375" customWidth="1"/>
    <col min="6" max="6" width="6.42578125" style="1" customWidth="1"/>
    <col min="7" max="7" width="9.42578125" style="1" customWidth="1"/>
    <col min="8" max="8" width="60.7109375" style="42" customWidth="1"/>
    <col min="12" max="15" width="50.7109375" style="42" customWidth="1"/>
  </cols>
  <sheetData>
    <row r="1" spans="1:15" s="4" customFormat="1" ht="34.5" customHeight="1">
      <c r="A1" s="3"/>
      <c r="B1" s="91" t="s">
        <v>103</v>
      </c>
      <c r="C1" s="91"/>
      <c r="D1" s="91"/>
      <c r="E1" s="91"/>
      <c r="F1" s="91"/>
      <c r="G1" s="91"/>
      <c r="H1" s="91"/>
      <c r="I1" s="3"/>
      <c r="J1" s="3"/>
      <c r="K1" s="3"/>
      <c r="L1" s="55"/>
      <c r="M1" s="55"/>
      <c r="N1" s="55"/>
      <c r="O1" s="56"/>
    </row>
    <row r="2" spans="1:15" s="4" customFormat="1" ht="18" customHeight="1">
      <c r="A2" s="3"/>
      <c r="B2" s="92" t="s">
        <v>129</v>
      </c>
      <c r="C2" s="102"/>
      <c r="D2" s="102"/>
      <c r="E2" s="102"/>
      <c r="F2" s="102"/>
      <c r="G2" s="102"/>
      <c r="H2" s="102"/>
      <c r="I2" s="3"/>
      <c r="J2" s="3"/>
      <c r="K2" s="3"/>
      <c r="L2" s="55"/>
      <c r="M2" s="55"/>
      <c r="N2" s="55"/>
      <c r="O2" s="56"/>
    </row>
    <row r="3" spans="1:15">
      <c r="A3" s="5"/>
      <c r="B3" s="6"/>
      <c r="C3" s="5"/>
      <c r="D3" s="6"/>
      <c r="E3" s="5"/>
      <c r="F3" s="7"/>
      <c r="G3" s="7"/>
      <c r="H3" s="57"/>
      <c r="I3" s="5"/>
      <c r="J3" s="5"/>
      <c r="K3" s="5"/>
      <c r="L3" s="57"/>
      <c r="M3" s="57"/>
    </row>
    <row r="4" spans="1:15">
      <c r="A4" s="5"/>
      <c r="B4" s="103" t="s">
        <v>0</v>
      </c>
      <c r="C4" s="103"/>
      <c r="D4" s="103" t="s">
        <v>50</v>
      </c>
      <c r="E4" s="103"/>
      <c r="F4" s="38" t="s">
        <v>105</v>
      </c>
      <c r="G4" s="104" t="s">
        <v>130</v>
      </c>
      <c r="H4" s="105"/>
      <c r="I4" s="5"/>
      <c r="J4" s="5"/>
      <c r="K4" s="5"/>
      <c r="L4" s="57"/>
      <c r="M4" s="57"/>
    </row>
    <row r="5" spans="1:15" ht="46.9" customHeight="1">
      <c r="A5" s="5"/>
      <c r="B5" s="79" t="s">
        <v>2</v>
      </c>
      <c r="C5" s="68" t="s">
        <v>3</v>
      </c>
      <c r="D5" s="79" t="s">
        <v>53</v>
      </c>
      <c r="E5" s="68" t="s">
        <v>54</v>
      </c>
      <c r="F5" s="79" t="s">
        <v>93</v>
      </c>
      <c r="G5" s="18" t="s">
        <v>131</v>
      </c>
      <c r="H5" s="23" t="s">
        <v>132</v>
      </c>
      <c r="I5" s="5"/>
      <c r="J5" s="5"/>
      <c r="K5" s="5"/>
      <c r="L5" s="57"/>
      <c r="M5" s="57"/>
    </row>
    <row r="6" spans="1:15" ht="34.9" customHeight="1">
      <c r="A6" s="5"/>
      <c r="B6" s="82" t="s">
        <v>6</v>
      </c>
      <c r="C6" s="68" t="s">
        <v>7</v>
      </c>
      <c r="D6" s="82" t="s">
        <v>57</v>
      </c>
      <c r="E6" s="68" t="s">
        <v>58</v>
      </c>
      <c r="F6" s="79" t="s">
        <v>94</v>
      </c>
      <c r="G6" s="18" t="s">
        <v>133</v>
      </c>
      <c r="H6" s="23" t="s">
        <v>134</v>
      </c>
      <c r="I6" s="5"/>
      <c r="J6" s="5"/>
      <c r="K6" s="5"/>
      <c r="L6" s="57"/>
      <c r="M6" s="57"/>
    </row>
    <row r="7" spans="1:15" ht="51.6" customHeight="1">
      <c r="A7" s="5"/>
      <c r="B7" s="79" t="s">
        <v>10</v>
      </c>
      <c r="C7" s="68" t="s">
        <v>11</v>
      </c>
      <c r="D7" s="79" t="s">
        <v>61</v>
      </c>
      <c r="E7" s="68" t="s">
        <v>62</v>
      </c>
      <c r="F7" s="79" t="s">
        <v>95</v>
      </c>
      <c r="G7" s="18" t="s">
        <v>135</v>
      </c>
      <c r="H7" s="23" t="s">
        <v>136</v>
      </c>
      <c r="I7" s="5"/>
      <c r="J7" s="5"/>
      <c r="K7" s="5"/>
      <c r="L7" s="57"/>
      <c r="M7" s="57"/>
    </row>
    <row r="8" spans="1:15" ht="52.15" customHeight="1">
      <c r="A8" s="5"/>
      <c r="B8" s="82" t="s">
        <v>14</v>
      </c>
      <c r="C8" s="68" t="s">
        <v>15</v>
      </c>
      <c r="D8" s="82" t="s">
        <v>65</v>
      </c>
      <c r="E8" s="68" t="s">
        <v>66</v>
      </c>
      <c r="F8" s="79" t="s">
        <v>96</v>
      </c>
      <c r="G8" s="18" t="s">
        <v>137</v>
      </c>
      <c r="H8" s="23" t="s">
        <v>138</v>
      </c>
      <c r="I8" s="5"/>
      <c r="J8" s="5"/>
      <c r="K8" s="5"/>
      <c r="L8" s="57"/>
      <c r="M8" s="57"/>
    </row>
    <row r="9" spans="1:15" ht="34.9" customHeight="1">
      <c r="A9" s="5"/>
      <c r="B9" s="79" t="s">
        <v>18</v>
      </c>
      <c r="C9" s="68" t="s">
        <v>19</v>
      </c>
      <c r="D9" s="79" t="s">
        <v>69</v>
      </c>
      <c r="E9" s="68" t="s">
        <v>70</v>
      </c>
      <c r="F9" s="79" t="s">
        <v>97</v>
      </c>
      <c r="G9" s="18" t="s">
        <v>139</v>
      </c>
      <c r="H9" s="23" t="s">
        <v>140</v>
      </c>
      <c r="I9" s="5"/>
      <c r="J9" s="5"/>
      <c r="K9" s="5"/>
      <c r="L9" s="57"/>
      <c r="M9" s="57"/>
    </row>
    <row r="10" spans="1:15" ht="34.9" customHeight="1">
      <c r="A10" s="5"/>
      <c r="B10" s="82" t="s">
        <v>22</v>
      </c>
      <c r="C10" s="68" t="s">
        <v>23</v>
      </c>
      <c r="D10" s="82" t="s">
        <v>73</v>
      </c>
      <c r="E10" s="68" t="s">
        <v>74</v>
      </c>
      <c r="F10" s="79" t="s">
        <v>98</v>
      </c>
      <c r="G10" s="18" t="s">
        <v>141</v>
      </c>
      <c r="H10" s="23" t="s">
        <v>142</v>
      </c>
      <c r="I10" s="5"/>
      <c r="J10" s="5"/>
      <c r="K10" s="5"/>
      <c r="L10" s="57"/>
      <c r="M10" s="57"/>
    </row>
    <row r="11" spans="1:15" ht="34.9" customHeight="1">
      <c r="A11" s="5"/>
      <c r="B11" s="79" t="s">
        <v>26</v>
      </c>
      <c r="C11" s="68" t="s">
        <v>27</v>
      </c>
      <c r="D11" s="82" t="s">
        <v>77</v>
      </c>
      <c r="E11" s="68" t="s">
        <v>143</v>
      </c>
      <c r="F11" s="79" t="s">
        <v>99</v>
      </c>
      <c r="G11" s="18" t="s">
        <v>144</v>
      </c>
      <c r="H11" s="23" t="s">
        <v>145</v>
      </c>
      <c r="I11" s="5"/>
      <c r="J11" s="5"/>
      <c r="K11" s="5"/>
      <c r="L11" s="57"/>
      <c r="M11" s="57"/>
    </row>
    <row r="12" spans="1:15" ht="34.9" customHeight="1">
      <c r="A12" s="5"/>
      <c r="B12" s="82" t="s">
        <v>30</v>
      </c>
      <c r="C12" s="68" t="s">
        <v>31</v>
      </c>
      <c r="D12" s="82" t="s">
        <v>81</v>
      </c>
      <c r="E12" s="68" t="s">
        <v>146</v>
      </c>
      <c r="F12" s="79" t="s">
        <v>100</v>
      </c>
      <c r="G12" s="80"/>
      <c r="H12" s="81"/>
      <c r="I12" s="5"/>
      <c r="J12" s="5"/>
      <c r="K12" s="5"/>
      <c r="L12" s="57"/>
      <c r="M12" s="57"/>
    </row>
    <row r="13" spans="1:15" ht="34.9" customHeight="1">
      <c r="A13" s="5"/>
      <c r="B13" s="82" t="s">
        <v>34</v>
      </c>
      <c r="C13" s="68" t="s">
        <v>35</v>
      </c>
      <c r="D13" s="82"/>
      <c r="E13" s="83"/>
      <c r="F13" s="79" t="s">
        <v>101</v>
      </c>
      <c r="G13" s="80"/>
      <c r="H13" s="81"/>
      <c r="I13" s="5"/>
      <c r="J13" s="5"/>
      <c r="K13" s="5"/>
      <c r="L13" s="57"/>
      <c r="M13" s="57"/>
    </row>
    <row r="14" spans="1:15" ht="34.9" customHeight="1">
      <c r="A14" s="5"/>
      <c r="B14" s="82" t="s">
        <v>38</v>
      </c>
      <c r="C14" s="68" t="s">
        <v>39</v>
      </c>
      <c r="D14" s="82"/>
      <c r="E14" s="83"/>
      <c r="F14" s="79" t="s">
        <v>102</v>
      </c>
      <c r="G14" s="80"/>
      <c r="H14" s="81"/>
      <c r="I14" s="5"/>
      <c r="J14" s="5"/>
      <c r="K14" s="5"/>
      <c r="L14" s="57"/>
      <c r="M14" s="57"/>
    </row>
    <row r="15" spans="1:15" ht="34.9" customHeight="1">
      <c r="A15" s="5"/>
      <c r="B15" s="82" t="s">
        <v>42</v>
      </c>
      <c r="C15" s="68" t="s">
        <v>43</v>
      </c>
      <c r="D15" s="79"/>
      <c r="E15" s="84"/>
      <c r="F15" s="79" t="s">
        <v>147</v>
      </c>
      <c r="G15" s="80"/>
      <c r="H15" s="81"/>
      <c r="I15" s="5"/>
      <c r="J15" s="5"/>
      <c r="K15" s="5"/>
      <c r="L15" s="57"/>
      <c r="M15" s="57"/>
    </row>
    <row r="16" spans="1:15" ht="34.9" customHeight="1">
      <c r="A16" s="5"/>
      <c r="B16" s="82" t="s">
        <v>46</v>
      </c>
      <c r="C16" s="68" t="s">
        <v>47</v>
      </c>
      <c r="D16" s="82"/>
      <c r="E16" s="85"/>
      <c r="F16" s="79" t="s">
        <v>148</v>
      </c>
      <c r="G16" s="80"/>
      <c r="H16" s="81"/>
      <c r="I16" s="5"/>
      <c r="J16" s="5"/>
      <c r="K16" s="5"/>
      <c r="L16" s="57"/>
      <c r="M16" s="57"/>
    </row>
    <row r="17" spans="1:15">
      <c r="A17" s="5"/>
      <c r="B17" s="6"/>
      <c r="C17" s="5"/>
      <c r="D17" s="39"/>
      <c r="E17" s="71"/>
      <c r="I17" s="5"/>
      <c r="J17" s="5"/>
      <c r="K17" s="5"/>
      <c r="L17" s="57"/>
      <c r="M17" s="57"/>
    </row>
    <row r="18" spans="1:15">
      <c r="A18" s="5"/>
      <c r="B18" s="6"/>
      <c r="C18" s="5"/>
      <c r="D18" s="40"/>
      <c r="E18" s="70"/>
      <c r="I18" s="5"/>
      <c r="J18" s="5"/>
      <c r="K18" s="5"/>
      <c r="L18" s="57"/>
      <c r="M18" s="57"/>
    </row>
    <row r="19" spans="1:15">
      <c r="A19" s="5"/>
      <c r="B19" s="6"/>
      <c r="C19" s="5"/>
      <c r="D19" s="39"/>
      <c r="E19" s="71"/>
      <c r="I19" s="5"/>
      <c r="J19" s="5"/>
      <c r="K19" s="5"/>
      <c r="L19" s="57"/>
      <c r="M19" s="57"/>
    </row>
    <row r="20" spans="1:15">
      <c r="A20" s="5"/>
      <c r="B20" s="6"/>
      <c r="C20" s="5"/>
      <c r="D20" s="40"/>
      <c r="E20" s="70"/>
      <c r="I20" s="5"/>
      <c r="J20" s="5"/>
      <c r="K20" s="5"/>
      <c r="L20" s="57"/>
      <c r="M20" s="57"/>
    </row>
    <row r="21" spans="1:15">
      <c r="A21" s="5"/>
      <c r="B21" s="6"/>
      <c r="C21" s="5"/>
      <c r="D21" s="39"/>
      <c r="E21" s="71"/>
      <c r="I21" s="5"/>
      <c r="J21" s="5"/>
      <c r="K21" s="5"/>
      <c r="L21" s="57"/>
      <c r="M21" s="57"/>
    </row>
    <row r="22" spans="1:15">
      <c r="A22" s="5"/>
      <c r="B22" s="6"/>
      <c r="C22" s="5"/>
      <c r="D22" s="6"/>
      <c r="E22" s="5"/>
      <c r="F22" s="7"/>
      <c r="G22" s="7"/>
      <c r="H22" s="57"/>
      <c r="I22" s="5"/>
      <c r="J22" s="5"/>
      <c r="K22" s="5"/>
      <c r="L22" s="57"/>
      <c r="M22" s="57"/>
    </row>
    <row r="23" spans="1:15">
      <c r="A23" s="5"/>
      <c r="B23" s="6"/>
      <c r="C23" s="5"/>
      <c r="D23" s="6"/>
      <c r="E23" s="5"/>
      <c r="F23" s="7"/>
      <c r="G23" s="7"/>
      <c r="H23" s="57"/>
      <c r="I23" s="5"/>
      <c r="J23" s="5"/>
      <c r="K23" s="5"/>
      <c r="L23" s="57"/>
      <c r="M23" s="57"/>
    </row>
    <row r="24" spans="1:15">
      <c r="A24" s="5"/>
      <c r="B24" s="6"/>
      <c r="C24" s="5"/>
      <c r="D24" s="6"/>
      <c r="E24" s="5"/>
      <c r="F24" s="7"/>
      <c r="G24" s="7"/>
      <c r="H24" s="57"/>
      <c r="I24" s="5"/>
      <c r="J24" s="5"/>
      <c r="K24" s="5"/>
      <c r="L24" s="50"/>
      <c r="M24" s="54"/>
      <c r="N24" s="54"/>
      <c r="O24" s="50"/>
    </row>
    <row r="25" spans="1:15">
      <c r="A25" s="5"/>
      <c r="B25" s="6"/>
      <c r="C25" s="5"/>
      <c r="D25" s="6"/>
      <c r="E25" s="5"/>
      <c r="F25" s="7"/>
      <c r="G25" s="7"/>
      <c r="H25" s="57"/>
      <c r="I25" s="5"/>
      <c r="J25" s="5"/>
      <c r="K25" s="5"/>
      <c r="L25" s="50"/>
      <c r="M25" s="43"/>
      <c r="N25" s="43"/>
      <c r="O25" s="50"/>
    </row>
    <row r="26" spans="1:15">
      <c r="A26" s="5"/>
      <c r="B26" s="6"/>
      <c r="C26" s="5"/>
      <c r="D26" s="6"/>
      <c r="E26" s="5"/>
      <c r="F26" s="7"/>
      <c r="G26" s="7"/>
      <c r="H26" s="57"/>
      <c r="I26" s="5"/>
      <c r="J26" s="5"/>
      <c r="K26" s="5"/>
      <c r="L26" s="50"/>
      <c r="M26" s="43"/>
      <c r="N26" s="43"/>
      <c r="O26" s="50"/>
    </row>
    <row r="27" spans="1:15">
      <c r="A27" s="5"/>
      <c r="B27" s="6"/>
      <c r="C27" s="5"/>
      <c r="D27" s="6"/>
      <c r="E27" s="5"/>
      <c r="F27" s="7"/>
      <c r="G27" s="7"/>
      <c r="H27" s="57"/>
      <c r="I27" s="5"/>
      <c r="J27" s="5"/>
      <c r="K27" s="5"/>
      <c r="L27" s="50"/>
      <c r="M27" s="43"/>
      <c r="N27" s="43"/>
      <c r="O27" s="50"/>
    </row>
    <row r="28" spans="1:15">
      <c r="A28" s="5"/>
      <c r="B28" s="6"/>
      <c r="C28" s="5"/>
      <c r="D28" s="6"/>
      <c r="E28" s="5"/>
      <c r="F28" s="7"/>
      <c r="G28" s="7"/>
      <c r="H28" s="57"/>
      <c r="I28" s="5"/>
      <c r="J28" s="5"/>
      <c r="K28" s="5"/>
      <c r="L28" s="50"/>
      <c r="M28" s="43"/>
      <c r="N28" s="43"/>
      <c r="O28" s="50"/>
    </row>
    <row r="29" spans="1:15">
      <c r="A29" s="5"/>
      <c r="B29" s="6"/>
      <c r="C29" s="5"/>
      <c r="D29" s="6"/>
      <c r="E29" s="5"/>
      <c r="F29" s="7"/>
      <c r="G29" s="7"/>
      <c r="H29" s="57"/>
      <c r="I29" s="5"/>
      <c r="J29" s="5"/>
      <c r="K29" s="5"/>
      <c r="L29" s="50"/>
      <c r="M29" s="43"/>
      <c r="N29" s="43"/>
      <c r="O29" s="50"/>
    </row>
    <row r="30" spans="1:15">
      <c r="A30" s="5"/>
      <c r="B30" s="6"/>
      <c r="C30" s="5"/>
      <c r="D30" s="6"/>
      <c r="E30" s="5"/>
      <c r="F30" s="7"/>
      <c r="G30" s="7"/>
      <c r="H30" s="57"/>
      <c r="I30" s="5"/>
      <c r="J30" s="5"/>
      <c r="K30" s="5"/>
      <c r="L30" s="50"/>
      <c r="M30" s="43"/>
      <c r="N30" s="43"/>
      <c r="O30" s="50"/>
    </row>
    <row r="31" spans="1:15">
      <c r="B31" s="6"/>
      <c r="C31" s="5"/>
      <c r="D31" s="6"/>
      <c r="E31" s="5"/>
      <c r="F31" s="7"/>
      <c r="G31" s="7"/>
      <c r="H31" s="57"/>
      <c r="I31" s="5"/>
      <c r="J31" s="5"/>
      <c r="K31" s="5"/>
      <c r="L31" s="50"/>
      <c r="M31" s="43"/>
      <c r="N31" s="43"/>
      <c r="O31" s="50"/>
    </row>
    <row r="32" spans="1:15">
      <c r="L32" s="50"/>
      <c r="M32" s="43"/>
      <c r="N32" s="43"/>
      <c r="O32" s="50"/>
    </row>
    <row r="33" spans="12:15">
      <c r="L33" s="50"/>
      <c r="M33" s="43"/>
      <c r="N33" s="43"/>
      <c r="O33" s="50"/>
    </row>
    <row r="34" spans="12:15">
      <c r="L34" s="50"/>
      <c r="M34" s="43"/>
      <c r="N34" s="43"/>
      <c r="O34" s="50"/>
    </row>
    <row r="35" spans="12:15">
      <c r="L35" s="50"/>
      <c r="M35" s="43"/>
      <c r="N35" s="43"/>
      <c r="O35" s="50"/>
    </row>
    <row r="36" spans="12:15">
      <c r="L36" s="50"/>
      <c r="M36" s="43"/>
      <c r="N36" s="43"/>
      <c r="O36" s="50"/>
    </row>
  </sheetData>
  <mergeCells count="5">
    <mergeCell ref="B1:H1"/>
    <mergeCell ref="B2:H2"/>
    <mergeCell ref="B4:C4"/>
    <mergeCell ref="D4:E4"/>
    <mergeCell ref="G4:H4"/>
  </mergeCells>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B77E-E94D-4FC6-B35F-FFDCB0A4AF71}">
  <sheetPr>
    <tabColor rgb="FF66FF99"/>
  </sheetPr>
  <dimension ref="A1:Q31"/>
  <sheetViews>
    <sheetView zoomScale="85" zoomScaleNormal="85" workbookViewId="0">
      <selection activeCell="H12" sqref="H12"/>
    </sheetView>
  </sheetViews>
  <sheetFormatPr defaultColWidth="11.42578125" defaultRowHeight="14.45"/>
  <cols>
    <col min="1" max="1" width="5.7109375" customWidth="1"/>
    <col min="2" max="2" width="5.7109375" style="2" customWidth="1"/>
    <col min="3" max="3" width="60.7109375" customWidth="1"/>
    <col min="4" max="4" width="5.7109375" style="2" customWidth="1"/>
    <col min="5" max="5" width="60.7109375" customWidth="1"/>
    <col min="6" max="6" width="6.42578125" style="1" customWidth="1"/>
    <col min="7" max="7" width="15.7109375" style="1" customWidth="1"/>
    <col min="8" max="8" width="55.7109375" style="42" customWidth="1"/>
    <col min="14" max="19" width="50.7109375" customWidth="1"/>
  </cols>
  <sheetData>
    <row r="1" spans="1:17" s="4" customFormat="1" ht="34.5" customHeight="1">
      <c r="A1" s="3"/>
      <c r="B1" s="91" t="s">
        <v>103</v>
      </c>
      <c r="C1" s="91"/>
      <c r="D1" s="91"/>
      <c r="E1" s="91"/>
      <c r="F1" s="91"/>
      <c r="G1" s="91"/>
      <c r="H1" s="91"/>
      <c r="I1" s="3"/>
      <c r="J1" s="3"/>
      <c r="K1" s="3"/>
      <c r="L1" s="3"/>
      <c r="M1" s="3"/>
      <c r="N1" s="3"/>
    </row>
    <row r="2" spans="1:17" s="4" customFormat="1" ht="18" customHeight="1">
      <c r="A2" s="3"/>
      <c r="B2" s="92" t="s">
        <v>149</v>
      </c>
      <c r="C2" s="102"/>
      <c r="D2" s="102"/>
      <c r="E2" s="102"/>
      <c r="F2" s="102"/>
      <c r="G2" s="102"/>
      <c r="H2" s="102"/>
      <c r="I2" s="3"/>
      <c r="J2" s="3"/>
      <c r="K2" s="3"/>
      <c r="L2" s="3"/>
      <c r="M2" s="3"/>
      <c r="N2" s="3"/>
    </row>
    <row r="3" spans="1:17">
      <c r="A3" s="5"/>
      <c r="B3" s="6"/>
      <c r="C3" s="5"/>
      <c r="D3" s="6"/>
      <c r="E3" s="5"/>
      <c r="F3" s="7"/>
      <c r="G3" s="7"/>
      <c r="H3" s="57"/>
      <c r="I3" s="5"/>
      <c r="J3" s="5"/>
      <c r="K3" s="5"/>
      <c r="L3" s="5"/>
      <c r="M3" s="5"/>
    </row>
    <row r="4" spans="1:17">
      <c r="A4" s="5"/>
      <c r="B4" s="106" t="s">
        <v>1</v>
      </c>
      <c r="C4" s="107"/>
      <c r="D4" s="107" t="s">
        <v>49</v>
      </c>
      <c r="E4" s="108"/>
      <c r="F4" s="22" t="s">
        <v>105</v>
      </c>
      <c r="G4" s="109" t="s">
        <v>150</v>
      </c>
      <c r="H4" s="110"/>
      <c r="I4" s="5"/>
      <c r="J4" s="5"/>
      <c r="K4" s="5"/>
      <c r="L4" s="5"/>
      <c r="M4" s="5"/>
    </row>
    <row r="5" spans="1:17" ht="34.9" customHeight="1">
      <c r="A5" s="5"/>
      <c r="B5" s="24" t="s">
        <v>2</v>
      </c>
      <c r="C5" s="68" t="s">
        <v>5</v>
      </c>
      <c r="D5" s="24" t="s">
        <v>53</v>
      </c>
      <c r="E5" s="63" t="s">
        <v>52</v>
      </c>
      <c r="F5" s="67" t="s">
        <v>93</v>
      </c>
      <c r="G5" s="51" t="s">
        <v>151</v>
      </c>
      <c r="H5" s="53" t="s">
        <v>152</v>
      </c>
      <c r="I5" s="5"/>
      <c r="J5" s="5"/>
      <c r="K5" s="5"/>
      <c r="L5" s="5"/>
      <c r="M5" s="5"/>
      <c r="N5" s="50"/>
      <c r="O5" s="54"/>
      <c r="P5" s="54"/>
      <c r="Q5" s="50"/>
    </row>
    <row r="6" spans="1:17" ht="34.9" customHeight="1">
      <c r="A6" s="5"/>
      <c r="B6" s="24" t="s">
        <v>6</v>
      </c>
      <c r="C6" s="68" t="s">
        <v>9</v>
      </c>
      <c r="D6" s="24" t="s">
        <v>57</v>
      </c>
      <c r="E6" s="63" t="s">
        <v>56</v>
      </c>
      <c r="F6" s="67" t="s">
        <v>94</v>
      </c>
      <c r="G6" s="51" t="s">
        <v>153</v>
      </c>
      <c r="H6" s="53" t="s">
        <v>154</v>
      </c>
      <c r="I6" s="5"/>
      <c r="J6" s="5"/>
      <c r="K6" s="5"/>
      <c r="L6" s="5"/>
      <c r="M6" s="5"/>
      <c r="N6" s="50"/>
      <c r="O6" s="43"/>
      <c r="P6" s="43"/>
      <c r="Q6" s="50"/>
    </row>
    <row r="7" spans="1:17" ht="34.9" customHeight="1">
      <c r="A7" s="5"/>
      <c r="B7" s="24" t="s">
        <v>10</v>
      </c>
      <c r="C7" s="68" t="s">
        <v>13</v>
      </c>
      <c r="D7" s="24" t="s">
        <v>61</v>
      </c>
      <c r="E7" s="63" t="s">
        <v>60</v>
      </c>
      <c r="F7" s="67" t="s">
        <v>95</v>
      </c>
      <c r="G7" s="51" t="s">
        <v>155</v>
      </c>
      <c r="H7" s="53" t="s">
        <v>156</v>
      </c>
      <c r="I7" s="5"/>
      <c r="J7" s="5"/>
      <c r="K7" s="5"/>
      <c r="L7" s="5"/>
      <c r="M7" s="5"/>
      <c r="N7" s="50"/>
      <c r="O7" s="43"/>
      <c r="P7" s="43"/>
      <c r="Q7" s="50"/>
    </row>
    <row r="8" spans="1:17" ht="34.9" customHeight="1">
      <c r="A8" s="5"/>
      <c r="B8" s="24" t="s">
        <v>14</v>
      </c>
      <c r="C8" s="68" t="s">
        <v>17</v>
      </c>
      <c r="D8" s="24" t="s">
        <v>65</v>
      </c>
      <c r="E8" s="63" t="s">
        <v>64</v>
      </c>
      <c r="F8" s="67" t="s">
        <v>96</v>
      </c>
      <c r="G8" s="51" t="s">
        <v>157</v>
      </c>
      <c r="H8" s="53" t="s">
        <v>158</v>
      </c>
      <c r="I8" s="5"/>
      <c r="J8" s="5"/>
      <c r="K8" s="5"/>
      <c r="L8" s="5"/>
      <c r="M8" s="5"/>
      <c r="N8" s="50"/>
      <c r="O8" s="43"/>
      <c r="P8" s="43"/>
      <c r="Q8" s="50"/>
    </row>
    <row r="9" spans="1:17" ht="34.9" customHeight="1">
      <c r="A9" s="5"/>
      <c r="B9" s="24" t="s">
        <v>18</v>
      </c>
      <c r="C9" s="69" t="s">
        <v>21</v>
      </c>
      <c r="D9" s="24" t="s">
        <v>69</v>
      </c>
      <c r="E9" s="63" t="s">
        <v>68</v>
      </c>
      <c r="F9" s="67" t="s">
        <v>97</v>
      </c>
      <c r="G9" s="51" t="s">
        <v>159</v>
      </c>
      <c r="H9" s="53" t="s">
        <v>160</v>
      </c>
      <c r="I9" s="5"/>
      <c r="J9" s="5"/>
      <c r="K9" s="5"/>
      <c r="L9" s="5"/>
      <c r="M9" s="5"/>
      <c r="N9" s="50"/>
      <c r="O9" s="43"/>
      <c r="P9" s="43"/>
      <c r="Q9" s="50"/>
    </row>
    <row r="10" spans="1:17" ht="34.9" customHeight="1">
      <c r="A10" s="5"/>
      <c r="B10" s="24" t="s">
        <v>22</v>
      </c>
      <c r="C10" s="68" t="s">
        <v>25</v>
      </c>
      <c r="D10" s="24" t="s">
        <v>73</v>
      </c>
      <c r="E10" s="63" t="s">
        <v>72</v>
      </c>
      <c r="F10" s="67" t="s">
        <v>98</v>
      </c>
      <c r="G10" s="51" t="s">
        <v>161</v>
      </c>
      <c r="H10" s="53" t="s">
        <v>162</v>
      </c>
      <c r="I10" s="5"/>
      <c r="J10" s="5"/>
      <c r="K10" s="5"/>
      <c r="L10" s="5"/>
      <c r="M10" s="5"/>
      <c r="N10" s="50"/>
      <c r="O10" s="43"/>
      <c r="P10" s="43"/>
      <c r="Q10" s="50"/>
    </row>
    <row r="11" spans="1:17" ht="34.9" customHeight="1">
      <c r="A11" s="5"/>
      <c r="B11" s="24" t="s">
        <v>26</v>
      </c>
      <c r="C11" s="68" t="s">
        <v>29</v>
      </c>
      <c r="D11" s="24" t="s">
        <v>77</v>
      </c>
      <c r="E11" s="63" t="s">
        <v>76</v>
      </c>
      <c r="F11" s="67" t="s">
        <v>99</v>
      </c>
      <c r="G11" s="51" t="s">
        <v>163</v>
      </c>
      <c r="H11" s="53" t="s">
        <v>164</v>
      </c>
      <c r="I11" s="5"/>
      <c r="J11" s="5"/>
      <c r="K11" s="5"/>
      <c r="L11" s="5"/>
      <c r="M11" s="5"/>
      <c r="N11" s="50"/>
      <c r="O11" s="43"/>
      <c r="P11" s="43"/>
      <c r="Q11" s="50"/>
    </row>
    <row r="12" spans="1:17" ht="34.9" customHeight="1">
      <c r="A12" s="5"/>
      <c r="B12" s="24" t="s">
        <v>30</v>
      </c>
      <c r="C12" s="68" t="s">
        <v>33</v>
      </c>
      <c r="D12" s="24" t="s">
        <v>81</v>
      </c>
      <c r="E12" s="63" t="s">
        <v>80</v>
      </c>
      <c r="F12" s="67" t="s">
        <v>100</v>
      </c>
      <c r="G12" s="51" t="s">
        <v>165</v>
      </c>
      <c r="H12" s="53" t="s">
        <v>166</v>
      </c>
      <c r="I12" s="5"/>
      <c r="J12" s="5"/>
      <c r="K12" s="5"/>
      <c r="L12" s="5"/>
      <c r="M12" s="5"/>
      <c r="N12" s="50"/>
      <c r="O12" s="43"/>
      <c r="P12" s="43"/>
      <c r="Q12" s="50"/>
    </row>
    <row r="13" spans="1:17" ht="34.9" customHeight="1">
      <c r="A13" s="5"/>
      <c r="B13" s="24" t="s">
        <v>34</v>
      </c>
      <c r="C13" s="68" t="s">
        <v>37</v>
      </c>
      <c r="D13" s="24" t="s">
        <v>85</v>
      </c>
      <c r="E13" s="63" t="s">
        <v>84</v>
      </c>
      <c r="F13" s="67" t="s">
        <v>101</v>
      </c>
      <c r="G13" s="51"/>
      <c r="H13" s="52"/>
      <c r="I13" s="5"/>
      <c r="J13" s="5"/>
      <c r="K13" s="5"/>
      <c r="L13" s="5"/>
      <c r="M13" s="5"/>
      <c r="N13" s="50"/>
      <c r="O13" s="43"/>
      <c r="P13" s="43"/>
      <c r="Q13" s="50"/>
    </row>
    <row r="14" spans="1:17" ht="34.9" customHeight="1">
      <c r="A14" s="5"/>
      <c r="B14" s="24" t="s">
        <v>38</v>
      </c>
      <c r="C14" s="68" t="s">
        <v>41</v>
      </c>
      <c r="D14" s="24" t="s">
        <v>88</v>
      </c>
      <c r="E14" s="63" t="s">
        <v>87</v>
      </c>
      <c r="F14" s="67" t="s">
        <v>102</v>
      </c>
      <c r="G14" s="51"/>
      <c r="H14" s="52"/>
      <c r="I14" s="5"/>
      <c r="J14" s="5"/>
      <c r="K14" s="5"/>
      <c r="L14" s="5"/>
      <c r="M14" s="5"/>
      <c r="N14" s="50"/>
      <c r="O14" s="43"/>
      <c r="P14" s="43"/>
      <c r="Q14" s="50"/>
    </row>
    <row r="15" spans="1:17" ht="34.9" customHeight="1">
      <c r="A15" s="5"/>
      <c r="B15" s="24" t="s">
        <v>42</v>
      </c>
      <c r="C15" s="68" t="s">
        <v>45</v>
      </c>
      <c r="D15" s="24"/>
      <c r="E15" s="47"/>
      <c r="F15" s="67" t="s">
        <v>147</v>
      </c>
      <c r="G15" s="51"/>
      <c r="H15" s="52"/>
      <c r="I15" s="5"/>
      <c r="J15" s="5"/>
      <c r="K15" s="5"/>
      <c r="L15" s="5"/>
      <c r="M15" s="5"/>
      <c r="N15" s="50"/>
      <c r="O15" s="43"/>
      <c r="P15" s="43"/>
      <c r="Q15" s="50"/>
    </row>
    <row r="16" spans="1:17" ht="34.9" customHeight="1">
      <c r="A16" s="5"/>
      <c r="B16" s="6"/>
      <c r="D16" s="39"/>
      <c r="E16" s="42"/>
      <c r="F16" s="67" t="s">
        <v>148</v>
      </c>
      <c r="G16" s="51"/>
      <c r="H16" s="58"/>
      <c r="I16" s="5"/>
      <c r="J16" s="5"/>
      <c r="K16" s="5"/>
      <c r="L16" s="5"/>
      <c r="M16" s="5"/>
      <c r="N16" s="50"/>
      <c r="O16" s="43"/>
      <c r="P16" s="43"/>
      <c r="Q16" s="50"/>
    </row>
    <row r="17" spans="1:17" ht="19.899999999999999" customHeight="1">
      <c r="A17" s="5"/>
      <c r="B17" s="6"/>
      <c r="C17" s="5"/>
      <c r="D17" s="39"/>
      <c r="E17" s="42"/>
      <c r="F17" s="67" t="s">
        <v>167</v>
      </c>
      <c r="G17" s="51"/>
      <c r="H17" s="52"/>
      <c r="I17" s="5"/>
      <c r="J17" s="5"/>
      <c r="K17" s="5"/>
      <c r="L17" s="5"/>
      <c r="M17" s="5"/>
      <c r="N17" s="50"/>
      <c r="O17" s="43"/>
      <c r="P17" s="43"/>
      <c r="Q17" s="50"/>
    </row>
    <row r="18" spans="1:17" ht="19.899999999999999" customHeight="1">
      <c r="A18" s="5"/>
      <c r="B18" s="6"/>
      <c r="C18" s="5"/>
      <c r="D18" s="39"/>
      <c r="E18" s="42"/>
      <c r="I18" s="5"/>
      <c r="J18" s="5"/>
      <c r="K18" s="5"/>
      <c r="L18" s="5"/>
      <c r="M18" s="5"/>
      <c r="N18" s="50"/>
      <c r="O18" s="43"/>
      <c r="P18" s="43"/>
      <c r="Q18" s="50"/>
    </row>
    <row r="19" spans="1:17">
      <c r="A19" s="5"/>
      <c r="B19" s="6"/>
      <c r="C19" s="5"/>
      <c r="D19" s="39"/>
      <c r="E19" s="42"/>
      <c r="I19" s="5"/>
      <c r="J19" s="5"/>
      <c r="K19" s="5"/>
      <c r="L19" s="5"/>
      <c r="M19" s="5"/>
    </row>
    <row r="20" spans="1:17">
      <c r="A20" s="5"/>
      <c r="B20" s="6"/>
      <c r="C20" s="5"/>
      <c r="D20" s="39"/>
      <c r="E20" s="42"/>
      <c r="I20" s="5"/>
      <c r="J20" s="5"/>
      <c r="K20" s="5"/>
      <c r="L20" s="5"/>
      <c r="M20" s="5"/>
    </row>
    <row r="21" spans="1:17">
      <c r="A21" s="5"/>
      <c r="B21" s="6"/>
      <c r="C21" s="5"/>
      <c r="D21" s="39"/>
      <c r="E21" s="42"/>
      <c r="I21" s="5"/>
      <c r="J21" s="5"/>
      <c r="K21" s="5"/>
      <c r="L21" s="5"/>
      <c r="M21" s="5"/>
    </row>
    <row r="22" spans="1:17">
      <c r="A22" s="5"/>
      <c r="B22" s="6"/>
      <c r="C22" s="5"/>
      <c r="D22" s="39"/>
      <c r="E22" s="42"/>
      <c r="F22" s="7"/>
      <c r="G22" s="7"/>
      <c r="H22" s="57"/>
      <c r="I22" s="5"/>
      <c r="J22" s="5"/>
      <c r="K22" s="5"/>
      <c r="L22" s="5"/>
      <c r="M22" s="5"/>
    </row>
    <row r="23" spans="1:17">
      <c r="A23" s="5"/>
      <c r="B23" s="6"/>
      <c r="C23" s="5"/>
      <c r="D23" s="39"/>
      <c r="E23" s="42"/>
      <c r="F23" s="7"/>
      <c r="G23" s="7"/>
      <c r="H23" s="57"/>
      <c r="I23" s="5"/>
      <c r="J23" s="5"/>
      <c r="K23" s="5"/>
      <c r="L23" s="5"/>
      <c r="M23" s="5"/>
    </row>
    <row r="24" spans="1:17">
      <c r="A24" s="5"/>
      <c r="B24" s="6"/>
      <c r="C24" s="5"/>
      <c r="E24" s="5"/>
      <c r="F24" s="7"/>
      <c r="G24" s="7"/>
      <c r="H24" s="57"/>
      <c r="I24" s="5"/>
      <c r="J24" s="5"/>
      <c r="K24" s="5"/>
      <c r="L24" s="5"/>
      <c r="M24" s="5"/>
    </row>
    <row r="25" spans="1:17">
      <c r="A25" s="5"/>
      <c r="B25" s="6"/>
      <c r="C25" s="5"/>
      <c r="D25" s="6"/>
      <c r="E25" s="5"/>
      <c r="F25" s="7"/>
      <c r="G25" s="7"/>
      <c r="H25" s="57"/>
      <c r="I25" s="5"/>
      <c r="J25" s="5"/>
      <c r="K25" s="5"/>
      <c r="L25" s="5"/>
      <c r="M25" s="5"/>
    </row>
    <row r="26" spans="1:17">
      <c r="A26" s="5"/>
      <c r="B26" s="6"/>
      <c r="C26" s="5"/>
      <c r="D26" s="6"/>
      <c r="E26" s="5"/>
      <c r="F26" s="7"/>
      <c r="G26" s="7"/>
      <c r="H26" s="57"/>
      <c r="I26" s="5"/>
      <c r="J26" s="5"/>
      <c r="K26" s="5"/>
      <c r="L26" s="5"/>
      <c r="M26" s="5"/>
    </row>
    <row r="27" spans="1:17">
      <c r="A27" s="5"/>
      <c r="B27" s="6"/>
      <c r="C27" s="5"/>
      <c r="D27" s="6"/>
      <c r="E27" s="5"/>
      <c r="F27" s="7"/>
      <c r="G27" s="7"/>
      <c r="H27" s="57"/>
      <c r="I27" s="5"/>
      <c r="J27" s="5"/>
      <c r="K27" s="5"/>
      <c r="L27" s="5"/>
      <c r="M27" s="5"/>
    </row>
    <row r="28" spans="1:17">
      <c r="A28" s="5"/>
      <c r="B28" s="6"/>
      <c r="C28" s="5"/>
      <c r="D28" s="6"/>
      <c r="E28" s="5"/>
      <c r="F28" s="7"/>
      <c r="G28" s="7"/>
      <c r="H28" s="57"/>
      <c r="I28" s="5"/>
      <c r="J28" s="5"/>
      <c r="K28" s="5"/>
      <c r="L28" s="5"/>
      <c r="M28" s="5"/>
    </row>
    <row r="29" spans="1:17">
      <c r="A29" s="5"/>
      <c r="B29" s="6"/>
      <c r="C29" s="5"/>
      <c r="D29" s="6"/>
      <c r="E29" s="5"/>
      <c r="F29" s="7"/>
      <c r="G29" s="7"/>
      <c r="H29" s="57"/>
      <c r="I29" s="5"/>
      <c r="J29" s="5"/>
      <c r="K29" s="5"/>
      <c r="L29" s="5"/>
      <c r="M29" s="5"/>
    </row>
    <row r="30" spans="1:17">
      <c r="A30" s="5"/>
      <c r="B30" s="6"/>
      <c r="C30" s="5"/>
      <c r="D30" s="6"/>
      <c r="E30" s="5"/>
      <c r="F30" s="7"/>
      <c r="G30" s="7"/>
      <c r="H30" s="57"/>
      <c r="I30" s="5"/>
      <c r="J30" s="5"/>
      <c r="K30" s="5"/>
      <c r="L30" s="5"/>
      <c r="M30" s="5"/>
    </row>
    <row r="31" spans="1:17">
      <c r="B31" s="6"/>
      <c r="C31" s="5"/>
      <c r="D31" s="6"/>
      <c r="E31" s="5"/>
      <c r="F31" s="7"/>
      <c r="G31" s="7"/>
      <c r="H31" s="57"/>
      <c r="I31" s="5"/>
      <c r="J31" s="5"/>
      <c r="K31" s="5"/>
      <c r="L31" s="5"/>
      <c r="M31" s="5"/>
    </row>
  </sheetData>
  <mergeCells count="5">
    <mergeCell ref="B1:H1"/>
    <mergeCell ref="B2:H2"/>
    <mergeCell ref="B4:C4"/>
    <mergeCell ref="D4:E4"/>
    <mergeCell ref="G4:H4"/>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C9AE-E9AA-4CBB-B668-C765C4692122}">
  <sheetPr>
    <tabColor rgb="FF00B050"/>
  </sheetPr>
  <dimension ref="A1:O31"/>
  <sheetViews>
    <sheetView topLeftCell="C10" zoomScale="85" zoomScaleNormal="85" workbookViewId="0">
      <selection activeCell="C6" sqref="C6"/>
    </sheetView>
  </sheetViews>
  <sheetFormatPr defaultColWidth="11.42578125" defaultRowHeight="14.45"/>
  <cols>
    <col min="1" max="1" width="5.7109375" customWidth="1"/>
    <col min="2" max="2" width="5.7109375" style="2" customWidth="1"/>
    <col min="3" max="3" width="60.7109375" customWidth="1"/>
    <col min="4" max="4" width="5.7109375" style="2" customWidth="1"/>
    <col min="5" max="5" width="66.7109375" customWidth="1"/>
    <col min="6" max="6" width="6.42578125" style="1" customWidth="1"/>
    <col min="7" max="7" width="9.42578125" style="1" customWidth="1"/>
    <col min="8" max="8" width="70.7109375" customWidth="1"/>
    <col min="12" max="15" width="50.7109375" customWidth="1"/>
  </cols>
  <sheetData>
    <row r="1" spans="1:15" s="4" customFormat="1" ht="34.5" customHeight="1">
      <c r="A1" s="3"/>
      <c r="B1" s="91" t="s">
        <v>103</v>
      </c>
      <c r="C1" s="91"/>
      <c r="D1" s="91"/>
      <c r="E1" s="91"/>
      <c r="F1" s="91"/>
      <c r="G1" s="91"/>
      <c r="H1" s="91"/>
      <c r="I1" s="3"/>
      <c r="J1" s="3"/>
      <c r="K1" s="3"/>
      <c r="L1" s="3"/>
      <c r="M1" s="3"/>
      <c r="N1" s="3"/>
    </row>
    <row r="2" spans="1:15" s="4" customFormat="1" ht="18" customHeight="1">
      <c r="A2" s="3"/>
      <c r="B2" s="92" t="s">
        <v>168</v>
      </c>
      <c r="C2" s="102"/>
      <c r="D2" s="102"/>
      <c r="E2" s="102"/>
      <c r="F2" s="102"/>
      <c r="G2" s="102"/>
      <c r="H2" s="102"/>
      <c r="I2" s="3"/>
      <c r="J2" s="3"/>
      <c r="K2" s="3"/>
      <c r="L2" s="3"/>
      <c r="M2" s="3"/>
      <c r="N2" s="3"/>
    </row>
    <row r="3" spans="1:15">
      <c r="A3" s="5"/>
      <c r="B3" s="6"/>
      <c r="C3" s="5"/>
      <c r="D3" s="6"/>
      <c r="E3" s="5"/>
      <c r="F3" s="7"/>
      <c r="G3" s="7"/>
      <c r="H3" s="5"/>
      <c r="I3" s="5"/>
      <c r="J3" s="5"/>
      <c r="K3" s="5"/>
      <c r="L3" s="5"/>
      <c r="M3" s="5"/>
    </row>
    <row r="4" spans="1:15">
      <c r="A4" s="5"/>
      <c r="B4" s="111" t="s">
        <v>1</v>
      </c>
      <c r="C4" s="111"/>
      <c r="D4" s="111" t="s">
        <v>50</v>
      </c>
      <c r="E4" s="111"/>
      <c r="F4" s="37" t="s">
        <v>105</v>
      </c>
      <c r="G4" s="112" t="s">
        <v>169</v>
      </c>
      <c r="H4" s="113"/>
      <c r="I4" s="5"/>
      <c r="J4" s="5"/>
      <c r="K4" s="5"/>
      <c r="L4" s="50"/>
      <c r="M4" s="54"/>
      <c r="N4" s="54"/>
      <c r="O4" s="50"/>
    </row>
    <row r="5" spans="1:15" ht="34.9" customHeight="1">
      <c r="A5" s="5"/>
      <c r="B5" s="17" t="s">
        <v>4</v>
      </c>
      <c r="C5" s="68" t="s">
        <v>5</v>
      </c>
      <c r="D5" s="17" t="s">
        <v>53</v>
      </c>
      <c r="E5" s="77" t="s">
        <v>54</v>
      </c>
      <c r="F5" s="18" t="s">
        <v>93</v>
      </c>
      <c r="G5" s="51" t="s">
        <v>170</v>
      </c>
      <c r="H5" s="53" t="s">
        <v>171</v>
      </c>
      <c r="I5" s="5"/>
      <c r="J5" s="5"/>
      <c r="K5" s="5"/>
      <c r="L5" s="50"/>
      <c r="M5" s="43"/>
      <c r="N5" s="43"/>
      <c r="O5" s="50"/>
    </row>
    <row r="6" spans="1:15" ht="34.9" customHeight="1">
      <c r="A6" s="5"/>
      <c r="B6" s="17" t="s">
        <v>8</v>
      </c>
      <c r="C6" s="68" t="s">
        <v>9</v>
      </c>
      <c r="D6" s="24" t="s">
        <v>57</v>
      </c>
      <c r="E6" s="77" t="s">
        <v>58</v>
      </c>
      <c r="F6" s="18" t="s">
        <v>94</v>
      </c>
      <c r="G6" s="51" t="s">
        <v>172</v>
      </c>
      <c r="H6" s="53" t="s">
        <v>173</v>
      </c>
      <c r="I6" s="5"/>
      <c r="J6" s="5"/>
      <c r="K6" s="5"/>
      <c r="L6" s="50"/>
      <c r="M6" s="43"/>
      <c r="N6" s="43"/>
      <c r="O6" s="50"/>
    </row>
    <row r="7" spans="1:15" ht="34.9" customHeight="1">
      <c r="A7" s="5"/>
      <c r="B7" s="17" t="s">
        <v>12</v>
      </c>
      <c r="C7" s="68" t="s">
        <v>13</v>
      </c>
      <c r="D7" s="17" t="s">
        <v>61</v>
      </c>
      <c r="E7" s="77" t="s">
        <v>62</v>
      </c>
      <c r="F7" s="18" t="s">
        <v>95</v>
      </c>
      <c r="G7" s="51" t="s">
        <v>174</v>
      </c>
      <c r="H7" s="53" t="s">
        <v>175</v>
      </c>
      <c r="I7" s="5"/>
      <c r="J7" s="5"/>
      <c r="K7" s="5"/>
      <c r="L7" s="50"/>
      <c r="M7" s="43"/>
      <c r="N7" s="43"/>
      <c r="O7" s="50"/>
    </row>
    <row r="8" spans="1:15" ht="34.9" customHeight="1">
      <c r="A8" s="5"/>
      <c r="B8" s="17" t="s">
        <v>16</v>
      </c>
      <c r="C8" s="68" t="s">
        <v>17</v>
      </c>
      <c r="D8" s="24" t="s">
        <v>65</v>
      </c>
      <c r="E8" s="77" t="s">
        <v>66</v>
      </c>
      <c r="F8" s="18" t="s">
        <v>96</v>
      </c>
      <c r="G8" s="51" t="s">
        <v>176</v>
      </c>
      <c r="H8" s="53" t="s">
        <v>177</v>
      </c>
      <c r="I8" s="5"/>
      <c r="J8" s="5"/>
      <c r="K8" s="5"/>
      <c r="L8" s="50"/>
      <c r="M8" s="43"/>
      <c r="N8" s="43"/>
      <c r="O8" s="50"/>
    </row>
    <row r="9" spans="1:15" ht="34.9" customHeight="1">
      <c r="A9" s="5"/>
      <c r="B9" s="17" t="s">
        <v>20</v>
      </c>
      <c r="C9" s="78" t="s">
        <v>21</v>
      </c>
      <c r="D9" s="17" t="s">
        <v>69</v>
      </c>
      <c r="E9" s="77" t="s">
        <v>70</v>
      </c>
      <c r="F9" s="18" t="s">
        <v>97</v>
      </c>
      <c r="G9" s="51" t="s">
        <v>178</v>
      </c>
      <c r="H9" s="53" t="s">
        <v>179</v>
      </c>
      <c r="I9" s="5"/>
      <c r="J9" s="5"/>
      <c r="K9" s="5"/>
      <c r="L9" s="50"/>
      <c r="M9" s="43"/>
      <c r="N9" s="43"/>
      <c r="O9" s="50"/>
    </row>
    <row r="10" spans="1:15" ht="34.9" customHeight="1">
      <c r="A10" s="5"/>
      <c r="B10" s="17" t="s">
        <v>24</v>
      </c>
      <c r="C10" s="68" t="s">
        <v>25</v>
      </c>
      <c r="D10" s="24" t="s">
        <v>73</v>
      </c>
      <c r="E10" s="77" t="s">
        <v>74</v>
      </c>
      <c r="F10" s="18" t="s">
        <v>98</v>
      </c>
      <c r="G10" s="51" t="s">
        <v>180</v>
      </c>
      <c r="H10" s="53" t="s">
        <v>181</v>
      </c>
      <c r="I10" s="5"/>
      <c r="J10" s="5"/>
      <c r="K10" s="5"/>
      <c r="L10" s="50"/>
      <c r="M10" s="43"/>
      <c r="N10" s="43"/>
      <c r="O10" s="50"/>
    </row>
    <row r="11" spans="1:15" ht="34.9" customHeight="1">
      <c r="A11" s="5"/>
      <c r="B11" s="17" t="s">
        <v>28</v>
      </c>
      <c r="C11" s="68" t="s">
        <v>29</v>
      </c>
      <c r="D11" s="24" t="s">
        <v>77</v>
      </c>
      <c r="E11" s="68" t="s">
        <v>143</v>
      </c>
      <c r="F11" s="18" t="s">
        <v>99</v>
      </c>
      <c r="G11" s="51" t="s">
        <v>182</v>
      </c>
      <c r="H11" s="53" t="s">
        <v>183</v>
      </c>
      <c r="I11" s="5"/>
      <c r="J11" s="5"/>
      <c r="K11" s="5"/>
      <c r="L11" s="50"/>
      <c r="M11" s="43"/>
      <c r="N11" s="43"/>
      <c r="O11" s="50"/>
    </row>
    <row r="12" spans="1:15" ht="34.9" customHeight="1">
      <c r="A12" s="5"/>
      <c r="B12" s="17" t="s">
        <v>32</v>
      </c>
      <c r="C12" s="68" t="s">
        <v>33</v>
      </c>
      <c r="D12" s="24" t="s">
        <v>81</v>
      </c>
      <c r="E12" s="68" t="s">
        <v>184</v>
      </c>
      <c r="F12" s="18"/>
      <c r="G12" s="51"/>
      <c r="H12" s="52"/>
      <c r="I12" s="5"/>
      <c r="J12" s="5"/>
      <c r="K12" s="5"/>
      <c r="L12" s="50"/>
      <c r="M12" s="43"/>
      <c r="N12" s="43"/>
      <c r="O12" s="50"/>
    </row>
    <row r="13" spans="1:15" ht="34.9" customHeight="1">
      <c r="A13" s="5"/>
      <c r="B13" s="17" t="s">
        <v>36</v>
      </c>
      <c r="C13" s="68" t="s">
        <v>37</v>
      </c>
      <c r="D13" s="24" t="s">
        <v>85</v>
      </c>
      <c r="E13" s="49"/>
      <c r="F13" s="18"/>
      <c r="G13" s="51"/>
      <c r="H13" s="52"/>
      <c r="I13" s="5"/>
      <c r="J13" s="5"/>
      <c r="K13" s="5"/>
      <c r="L13" s="50"/>
      <c r="M13" s="43"/>
      <c r="N13" s="43"/>
      <c r="O13" s="50"/>
    </row>
    <row r="14" spans="1:15" ht="34.9" customHeight="1">
      <c r="A14" s="5"/>
      <c r="B14" s="17" t="s">
        <v>40</v>
      </c>
      <c r="C14" s="68" t="s">
        <v>41</v>
      </c>
      <c r="D14" s="24" t="s">
        <v>88</v>
      </c>
      <c r="E14" s="49"/>
      <c r="F14" s="18"/>
      <c r="G14" s="51"/>
      <c r="H14" s="52"/>
      <c r="I14" s="5"/>
      <c r="J14" s="5"/>
      <c r="K14" s="5"/>
      <c r="L14" s="50"/>
      <c r="M14" s="43"/>
      <c r="N14" s="43"/>
      <c r="O14" s="50"/>
    </row>
    <row r="15" spans="1:15" ht="30" customHeight="1">
      <c r="A15" s="5"/>
      <c r="B15" s="17" t="s">
        <v>44</v>
      </c>
      <c r="C15" s="68" t="s">
        <v>45</v>
      </c>
      <c r="D15" s="17"/>
      <c r="E15" s="72"/>
      <c r="F15" s="18"/>
      <c r="G15" s="51"/>
      <c r="H15" s="52"/>
      <c r="I15" s="5"/>
      <c r="J15" s="5"/>
      <c r="K15" s="5"/>
      <c r="L15" s="50"/>
      <c r="M15" s="43"/>
      <c r="N15" s="43"/>
      <c r="O15" s="50"/>
    </row>
    <row r="16" spans="1:15">
      <c r="A16" s="5"/>
      <c r="B16" s="6"/>
      <c r="C16" s="41"/>
      <c r="D16" s="40"/>
      <c r="E16" s="70"/>
      <c r="F16" s="10"/>
      <c r="G16" s="50"/>
      <c r="H16" s="43"/>
      <c r="I16" s="5"/>
      <c r="J16" s="5"/>
      <c r="K16" s="5"/>
      <c r="L16" s="50"/>
      <c r="M16" s="43"/>
      <c r="N16" s="43"/>
      <c r="O16" s="50"/>
    </row>
    <row r="17" spans="1:13">
      <c r="A17" s="5"/>
      <c r="B17" s="6"/>
      <c r="C17" s="5"/>
      <c r="D17" s="39"/>
      <c r="E17" s="71"/>
      <c r="H17" s="45"/>
      <c r="I17" s="5"/>
      <c r="J17" s="5"/>
      <c r="K17" s="5"/>
      <c r="L17" s="5"/>
      <c r="M17" s="5"/>
    </row>
    <row r="18" spans="1:13">
      <c r="A18" s="5"/>
      <c r="B18" s="6"/>
      <c r="C18" s="5"/>
      <c r="D18" s="40"/>
      <c r="E18" s="70"/>
      <c r="I18" s="5"/>
      <c r="J18" s="5"/>
      <c r="K18" s="5"/>
      <c r="L18" s="5"/>
      <c r="M18" s="5"/>
    </row>
    <row r="19" spans="1:13">
      <c r="A19" s="5"/>
      <c r="B19" s="6"/>
      <c r="C19" s="5"/>
      <c r="D19" s="39"/>
      <c r="E19" s="71"/>
      <c r="I19" s="5"/>
      <c r="J19" s="5"/>
      <c r="K19" s="5"/>
      <c r="L19" s="5"/>
      <c r="M19" s="5"/>
    </row>
    <row r="20" spans="1:13">
      <c r="A20" s="5"/>
      <c r="B20" s="6"/>
      <c r="C20" s="5"/>
      <c r="D20" s="40"/>
      <c r="E20" s="70"/>
      <c r="I20" s="5"/>
      <c r="J20" s="5"/>
      <c r="K20" s="5"/>
      <c r="L20" s="5"/>
      <c r="M20" s="5"/>
    </row>
    <row r="21" spans="1:13">
      <c r="A21" s="5"/>
      <c r="B21" s="6"/>
      <c r="C21" s="5"/>
      <c r="D21" s="39"/>
      <c r="E21" s="71"/>
      <c r="I21" s="5"/>
      <c r="J21" s="5"/>
      <c r="K21" s="5"/>
      <c r="L21" s="5"/>
      <c r="M21" s="5"/>
    </row>
    <row r="22" spans="1:13">
      <c r="A22" s="5"/>
      <c r="B22" s="6"/>
      <c r="C22" s="5"/>
      <c r="D22" s="6"/>
      <c r="E22" s="5"/>
      <c r="F22" s="7"/>
      <c r="G22" s="7"/>
      <c r="H22" s="5"/>
      <c r="I22" s="5"/>
      <c r="J22" s="5"/>
      <c r="K22" s="5"/>
      <c r="L22" s="5"/>
      <c r="M22" s="5"/>
    </row>
    <row r="23" spans="1:13">
      <c r="A23" s="5"/>
      <c r="B23" s="6"/>
      <c r="C23" s="5"/>
      <c r="D23" s="6"/>
      <c r="E23" s="5"/>
      <c r="F23" s="7"/>
      <c r="G23" s="7"/>
      <c r="H23" s="5"/>
      <c r="I23" s="5"/>
      <c r="J23" s="5"/>
      <c r="K23" s="5"/>
      <c r="L23" s="5"/>
      <c r="M23" s="5"/>
    </row>
    <row r="24" spans="1:13">
      <c r="A24" s="5"/>
      <c r="B24" s="6"/>
      <c r="C24" s="5"/>
      <c r="D24" s="6"/>
      <c r="E24" s="5"/>
      <c r="F24" s="7"/>
      <c r="G24" s="7"/>
      <c r="H24" s="5"/>
      <c r="I24" s="5"/>
      <c r="J24" s="5"/>
      <c r="K24" s="5"/>
      <c r="L24" s="5"/>
      <c r="M24" s="5"/>
    </row>
    <row r="25" spans="1:13">
      <c r="A25" s="5"/>
      <c r="B25" s="6"/>
      <c r="C25" s="5"/>
      <c r="D25" s="6"/>
      <c r="E25" s="5"/>
      <c r="F25" s="7"/>
      <c r="G25" s="7"/>
      <c r="H25" s="5"/>
      <c r="I25" s="5"/>
      <c r="J25" s="5"/>
      <c r="K25" s="5"/>
      <c r="L25" s="5"/>
      <c r="M25" s="5"/>
    </row>
    <row r="26" spans="1:13">
      <c r="A26" s="5"/>
      <c r="B26" s="6"/>
      <c r="C26" s="5"/>
      <c r="D26" s="6"/>
      <c r="E26" s="5"/>
      <c r="F26" s="7"/>
      <c r="G26" s="7"/>
      <c r="H26" s="5"/>
      <c r="I26" s="5"/>
      <c r="J26" s="5"/>
      <c r="K26" s="5"/>
      <c r="L26" s="5"/>
      <c r="M26" s="5"/>
    </row>
    <row r="27" spans="1:13">
      <c r="A27" s="5"/>
      <c r="B27" s="6"/>
      <c r="C27" s="5"/>
      <c r="D27" s="6"/>
      <c r="E27" s="5"/>
      <c r="F27" s="7"/>
      <c r="G27" s="7"/>
      <c r="H27" s="5"/>
      <c r="I27" s="5"/>
      <c r="J27" s="5"/>
      <c r="K27" s="5"/>
      <c r="L27" s="5"/>
      <c r="M27" s="5"/>
    </row>
    <row r="28" spans="1:13">
      <c r="A28" s="5"/>
      <c r="B28" s="6"/>
      <c r="C28" s="5"/>
      <c r="D28" s="6"/>
      <c r="E28" s="5"/>
      <c r="F28" s="7"/>
      <c r="G28" s="7"/>
      <c r="H28" s="5"/>
      <c r="I28" s="5"/>
      <c r="J28" s="5"/>
      <c r="K28" s="5"/>
      <c r="L28" s="5"/>
      <c r="M28" s="5"/>
    </row>
    <row r="29" spans="1:13">
      <c r="A29" s="5"/>
      <c r="B29" s="6"/>
      <c r="C29" s="5"/>
      <c r="D29" s="6"/>
      <c r="E29" s="5"/>
      <c r="F29" s="7"/>
      <c r="G29" s="7"/>
      <c r="H29" s="5"/>
      <c r="I29" s="5"/>
      <c r="J29" s="5"/>
      <c r="K29" s="5"/>
      <c r="L29" s="5"/>
      <c r="M29" s="5"/>
    </row>
    <row r="30" spans="1:13">
      <c r="A30" s="5"/>
      <c r="B30" s="6"/>
      <c r="C30" s="5"/>
      <c r="D30" s="6"/>
      <c r="E30" s="5"/>
      <c r="F30" s="7"/>
      <c r="G30" s="7"/>
      <c r="H30" s="5"/>
      <c r="I30" s="5"/>
      <c r="J30" s="5"/>
      <c r="K30" s="5"/>
      <c r="L30" s="5"/>
      <c r="M30" s="5"/>
    </row>
    <row r="31" spans="1:13">
      <c r="B31" s="6"/>
      <c r="C31" s="5"/>
      <c r="D31" s="6"/>
      <c r="E31" s="5"/>
      <c r="F31" s="7"/>
      <c r="G31" s="7"/>
      <c r="H31" s="5"/>
      <c r="I31" s="5"/>
      <c r="J31" s="5"/>
      <c r="K31" s="5"/>
      <c r="L31" s="5"/>
      <c r="M31" s="5"/>
    </row>
  </sheetData>
  <mergeCells count="5">
    <mergeCell ref="B1:H1"/>
    <mergeCell ref="B2:H2"/>
    <mergeCell ref="B4:C4"/>
    <mergeCell ref="D4:E4"/>
    <mergeCell ref="G4:H4"/>
  </mergeCells>
  <phoneticPr fontId="1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0404-913A-48EB-89D7-76B5CCAF6F00}">
  <sheetPr>
    <tabColor theme="7" tint="-0.249977111117893"/>
    <pageSetUpPr fitToPage="1"/>
  </sheetPr>
  <dimension ref="C2:E51"/>
  <sheetViews>
    <sheetView topLeftCell="C1" zoomScale="40" zoomScaleNormal="40" workbookViewId="0">
      <selection activeCell="G23" sqref="G23"/>
    </sheetView>
  </sheetViews>
  <sheetFormatPr defaultColWidth="11.42578125" defaultRowHeight="14.45"/>
  <cols>
    <col min="3" max="3" width="106.5703125" customWidth="1"/>
    <col min="4" max="4" width="107.28515625" customWidth="1"/>
    <col min="5" max="5" width="143.85546875" customWidth="1"/>
  </cols>
  <sheetData>
    <row r="2" spans="3:5" s="41" customFormat="1" ht="30" customHeight="1">
      <c r="C2" s="59"/>
      <c r="D2" s="59" t="s">
        <v>185</v>
      </c>
      <c r="E2" s="59" t="s">
        <v>186</v>
      </c>
    </row>
    <row r="3" spans="3:5" ht="18" customHeight="1">
      <c r="C3" s="114" t="s">
        <v>187</v>
      </c>
      <c r="D3" s="116" t="s">
        <v>188</v>
      </c>
      <c r="E3" s="116" t="s">
        <v>189</v>
      </c>
    </row>
    <row r="4" spans="3:5" ht="18" customHeight="1">
      <c r="C4" s="115"/>
      <c r="D4" s="117"/>
      <c r="E4" s="116"/>
    </row>
    <row r="5" spans="3:5" ht="18" customHeight="1">
      <c r="C5" s="115"/>
      <c r="D5" s="117"/>
      <c r="E5" s="116"/>
    </row>
    <row r="6" spans="3:5" ht="18" customHeight="1">
      <c r="C6" s="115"/>
      <c r="D6" s="117"/>
      <c r="E6" s="116"/>
    </row>
    <row r="7" spans="3:5" ht="18" customHeight="1">
      <c r="C7" s="115"/>
      <c r="D7" s="117"/>
      <c r="E7" s="116"/>
    </row>
    <row r="8" spans="3:5" ht="18" customHeight="1">
      <c r="C8" s="115"/>
      <c r="D8" s="117"/>
      <c r="E8" s="116"/>
    </row>
    <row r="9" spans="3:5" ht="18" customHeight="1">
      <c r="C9" s="115"/>
      <c r="D9" s="117"/>
      <c r="E9" s="116"/>
    </row>
    <row r="10" spans="3:5" ht="18" customHeight="1">
      <c r="C10" s="115"/>
      <c r="D10" s="117"/>
      <c r="E10" s="116"/>
    </row>
    <row r="11" spans="3:5" ht="18" customHeight="1">
      <c r="C11" s="115"/>
      <c r="D11" s="117"/>
      <c r="E11" s="116"/>
    </row>
    <row r="12" spans="3:5" ht="18" customHeight="1">
      <c r="C12" s="115"/>
      <c r="D12" s="117"/>
      <c r="E12" s="116"/>
    </row>
    <row r="13" spans="3:5" ht="18" customHeight="1">
      <c r="C13" s="115"/>
      <c r="D13" s="117"/>
      <c r="E13" s="116"/>
    </row>
    <row r="14" spans="3:5" ht="18" customHeight="1">
      <c r="C14" s="115"/>
      <c r="D14" s="117"/>
      <c r="E14" s="116"/>
    </row>
    <row r="15" spans="3:5" ht="18" customHeight="1">
      <c r="C15" s="115"/>
      <c r="D15" s="117"/>
      <c r="E15" s="116"/>
    </row>
    <row r="16" spans="3:5" ht="18" customHeight="1">
      <c r="C16" s="115"/>
      <c r="D16" s="117"/>
      <c r="E16" s="116"/>
    </row>
    <row r="17" spans="3:5" ht="18" customHeight="1">
      <c r="C17" s="115"/>
      <c r="D17" s="117"/>
      <c r="E17" s="116"/>
    </row>
    <row r="18" spans="3:5" ht="18" customHeight="1">
      <c r="C18" s="115"/>
      <c r="D18" s="117"/>
      <c r="E18" s="116"/>
    </row>
    <row r="19" spans="3:5" ht="18" customHeight="1">
      <c r="C19" s="115"/>
      <c r="D19" s="117"/>
      <c r="E19" s="116"/>
    </row>
    <row r="20" spans="3:5" s="41" customFormat="1" ht="30" customHeight="1">
      <c r="C20" s="86" t="s">
        <v>190</v>
      </c>
      <c r="D20" s="86" t="s">
        <v>191</v>
      </c>
      <c r="E20" s="86" t="s">
        <v>192</v>
      </c>
    </row>
    <row r="21" spans="3:5" ht="27" customHeight="1">
      <c r="C21" s="118" t="s">
        <v>193</v>
      </c>
      <c r="D21" s="121" t="s">
        <v>194</v>
      </c>
      <c r="E21" s="122" t="s">
        <v>195</v>
      </c>
    </row>
    <row r="22" spans="3:5" ht="27" customHeight="1">
      <c r="C22" s="118"/>
      <c r="D22" s="121"/>
      <c r="E22" s="122"/>
    </row>
    <row r="23" spans="3:5" ht="27" customHeight="1">
      <c r="C23" s="118"/>
      <c r="D23" s="121"/>
      <c r="E23" s="122"/>
    </row>
    <row r="24" spans="3:5" ht="27" customHeight="1">
      <c r="C24" s="118"/>
      <c r="D24" s="121"/>
      <c r="E24" s="122"/>
    </row>
    <row r="25" spans="3:5" ht="27" customHeight="1">
      <c r="C25" s="118"/>
      <c r="D25" s="121"/>
      <c r="E25" s="122"/>
    </row>
    <row r="26" spans="3:5" ht="27" customHeight="1">
      <c r="C26" s="118"/>
      <c r="D26" s="121"/>
      <c r="E26" s="122"/>
    </row>
    <row r="27" spans="3:5" ht="27" customHeight="1">
      <c r="C27" s="118"/>
      <c r="D27" s="121"/>
      <c r="E27" s="122"/>
    </row>
    <row r="28" spans="3:5" ht="27" customHeight="1">
      <c r="C28" s="118"/>
      <c r="D28" s="121"/>
      <c r="E28" s="122"/>
    </row>
    <row r="29" spans="3:5" ht="27" customHeight="1">
      <c r="C29" s="118"/>
      <c r="D29" s="121"/>
      <c r="E29" s="122"/>
    </row>
    <row r="30" spans="3:5" ht="27" customHeight="1">
      <c r="C30" s="118"/>
      <c r="D30" s="121"/>
      <c r="E30" s="122"/>
    </row>
    <row r="31" spans="3:5" ht="27" customHeight="1">
      <c r="C31" s="118"/>
      <c r="D31" s="121"/>
      <c r="E31" s="122"/>
    </row>
    <row r="32" spans="3:5" ht="30" customHeight="1">
      <c r="C32" s="118"/>
      <c r="D32" s="121"/>
      <c r="E32" s="122"/>
    </row>
    <row r="33" spans="3:5" ht="27" customHeight="1">
      <c r="C33" s="118"/>
      <c r="D33" s="121"/>
      <c r="E33" s="122"/>
    </row>
    <row r="34" spans="3:5" ht="27" customHeight="1">
      <c r="C34" s="118"/>
      <c r="D34" s="121"/>
      <c r="E34" s="122"/>
    </row>
    <row r="35" spans="3:5" ht="27" customHeight="1">
      <c r="C35" s="118"/>
      <c r="D35" s="121"/>
      <c r="E35" s="122"/>
    </row>
    <row r="36" spans="3:5" s="41" customFormat="1" ht="25.15" customHeight="1">
      <c r="C36" s="87" t="s">
        <v>196</v>
      </c>
      <c r="D36" s="88" t="s">
        <v>197</v>
      </c>
      <c r="E36" s="88" t="s">
        <v>198</v>
      </c>
    </row>
    <row r="37" spans="3:5" ht="28.15" customHeight="1">
      <c r="C37" s="119" t="s">
        <v>199</v>
      </c>
      <c r="D37" s="122" t="s">
        <v>200</v>
      </c>
      <c r="E37" s="122" t="s">
        <v>201</v>
      </c>
    </row>
    <row r="38" spans="3:5" ht="28.15" customHeight="1">
      <c r="C38" s="120"/>
      <c r="D38" s="123"/>
      <c r="E38" s="123"/>
    </row>
    <row r="39" spans="3:5" ht="28.15" customHeight="1">
      <c r="C39" s="120"/>
      <c r="D39" s="123"/>
      <c r="E39" s="123"/>
    </row>
    <row r="40" spans="3:5" ht="28.15" customHeight="1">
      <c r="C40" s="120"/>
      <c r="D40" s="123"/>
      <c r="E40" s="123"/>
    </row>
    <row r="41" spans="3:5" ht="28.15" customHeight="1">
      <c r="C41" s="120"/>
      <c r="D41" s="123"/>
      <c r="E41" s="123"/>
    </row>
    <row r="42" spans="3:5" ht="28.15" customHeight="1">
      <c r="C42" s="120"/>
      <c r="D42" s="123"/>
      <c r="E42" s="123"/>
    </row>
    <row r="43" spans="3:5" ht="28.15" customHeight="1">
      <c r="C43" s="120"/>
      <c r="D43" s="123"/>
      <c r="E43" s="123"/>
    </row>
    <row r="44" spans="3:5" ht="28.15" customHeight="1">
      <c r="C44" s="120"/>
      <c r="D44" s="123"/>
      <c r="E44" s="123"/>
    </row>
    <row r="45" spans="3:5" ht="28.15" customHeight="1">
      <c r="C45" s="120"/>
      <c r="D45" s="123"/>
      <c r="E45" s="123"/>
    </row>
    <row r="46" spans="3:5" ht="28.15" customHeight="1">
      <c r="C46" s="120"/>
      <c r="D46" s="123"/>
      <c r="E46" s="123"/>
    </row>
    <row r="47" spans="3:5" ht="28.15" customHeight="1">
      <c r="C47" s="120"/>
      <c r="D47" s="123"/>
      <c r="E47" s="123"/>
    </row>
    <row r="48" spans="3:5" ht="28.15" customHeight="1">
      <c r="C48" s="120"/>
      <c r="D48" s="123"/>
      <c r="E48" s="123"/>
    </row>
    <row r="49" spans="3:5" ht="28.15" customHeight="1">
      <c r="C49" s="120"/>
      <c r="D49" s="123"/>
      <c r="E49" s="123"/>
    </row>
    <row r="50" spans="3:5" ht="28.15" customHeight="1">
      <c r="C50" s="120"/>
      <c r="D50" s="123"/>
      <c r="E50" s="123"/>
    </row>
    <row r="51" spans="3:5" ht="81" customHeight="1">
      <c r="C51" s="120"/>
      <c r="D51" s="123"/>
      <c r="E51" s="123"/>
    </row>
  </sheetData>
  <mergeCells count="9">
    <mergeCell ref="C3:C19"/>
    <mergeCell ref="D3:D19"/>
    <mergeCell ref="E3:E19"/>
    <mergeCell ref="C21:C35"/>
    <mergeCell ref="C37:C51"/>
    <mergeCell ref="D21:D35"/>
    <mergeCell ref="E21:E35"/>
    <mergeCell ref="D37:D51"/>
    <mergeCell ref="E37:E51"/>
  </mergeCells>
  <pageMargins left="0.25" right="0.25" top="0.75" bottom="0.75" header="0.3" footer="0.3"/>
  <pageSetup paperSize="3" scale="5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Bustamante Romero</dc:creator>
  <cp:keywords/>
  <dc:description/>
  <cp:lastModifiedBy>Usuario invitado</cp:lastModifiedBy>
  <cp:revision/>
  <dcterms:created xsi:type="dcterms:W3CDTF">2017-09-04T13:44:10Z</dcterms:created>
  <dcterms:modified xsi:type="dcterms:W3CDTF">2025-11-24T05:31:00Z</dcterms:modified>
  <cp:category/>
  <cp:contentStatus/>
</cp:coreProperties>
</file>